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E:\budget_project\"/>
    </mc:Choice>
  </mc:AlternateContent>
  <xr:revisionPtr revIDLastSave="0" documentId="13_ncr:1_{2281B69B-4A39-4038-8899-3F9D959F8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4" r:id="rId1"/>
    <sheet name="Raw Data" sheetId="1" r:id="rId2"/>
    <sheet name="By Category" sheetId="2" r:id="rId3"/>
    <sheet name="By Month" sheetId="3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K6" i="4"/>
  <c r="H6" i="4"/>
  <c r="E6" i="4"/>
</calcChain>
</file>

<file path=xl/sharedStrings.xml><?xml version="1.0" encoding="utf-8"?>
<sst xmlns="http://schemas.openxmlformats.org/spreadsheetml/2006/main" count="404" uniqueCount="153">
  <si>
    <t>2024-01-02</t>
  </si>
  <si>
    <t>Rent</t>
  </si>
  <si>
    <t>January</t>
  </si>
  <si>
    <t>2024-01-05</t>
  </si>
  <si>
    <t>Food</t>
  </si>
  <si>
    <t>2024-01-08</t>
  </si>
  <si>
    <t>Transport</t>
  </si>
  <si>
    <t>2024-01-12</t>
  </si>
  <si>
    <t>Entertainment</t>
  </si>
  <si>
    <t>2024-01-15</t>
  </si>
  <si>
    <t>2024-01-18</t>
  </si>
  <si>
    <t>Health</t>
  </si>
  <si>
    <t>2024-01-22</t>
  </si>
  <si>
    <t>Shopping</t>
  </si>
  <si>
    <t>2024-01-25</t>
  </si>
  <si>
    <t>Utilities</t>
  </si>
  <si>
    <t>2024-01-28</t>
  </si>
  <si>
    <t>2024-01-30</t>
  </si>
  <si>
    <t>2024-02-01</t>
  </si>
  <si>
    <t>February</t>
  </si>
  <si>
    <t>2024-02-04</t>
  </si>
  <si>
    <t>2024-02-07</t>
  </si>
  <si>
    <t>2024-02-10</t>
  </si>
  <si>
    <t>2024-02-13</t>
  </si>
  <si>
    <t>2024-02-16</t>
  </si>
  <si>
    <t>2024-02-19</t>
  </si>
  <si>
    <t>2024-02-22</t>
  </si>
  <si>
    <t>2024-02-25</t>
  </si>
  <si>
    <t>2024-02-28</t>
  </si>
  <si>
    <t>2024-03-02</t>
  </si>
  <si>
    <t>March</t>
  </si>
  <si>
    <t>2024-03-05</t>
  </si>
  <si>
    <t>2024-03-08</t>
  </si>
  <si>
    <t>2024-03-12</t>
  </si>
  <si>
    <t>2024-03-15</t>
  </si>
  <si>
    <t>2024-03-18</t>
  </si>
  <si>
    <t>2024-03-22</t>
  </si>
  <si>
    <t>2024-03-25</t>
  </si>
  <si>
    <t>2024-03-28</t>
  </si>
  <si>
    <t>2024-03-30</t>
  </si>
  <si>
    <t>2024-04-01</t>
  </si>
  <si>
    <t>April</t>
  </si>
  <si>
    <t>2024-04-04</t>
  </si>
  <si>
    <t>2024-04-07</t>
  </si>
  <si>
    <t>2024-04-10</t>
  </si>
  <si>
    <t>2024-04-13</t>
  </si>
  <si>
    <t>2024-04-16</t>
  </si>
  <si>
    <t>2024-04-19</t>
  </si>
  <si>
    <t>2024-04-22</t>
  </si>
  <si>
    <t>2024-04-25</t>
  </si>
  <si>
    <t>2024-04-28</t>
  </si>
  <si>
    <t>2024-05-02</t>
  </si>
  <si>
    <t>May</t>
  </si>
  <si>
    <t>2024-05-05</t>
  </si>
  <si>
    <t>2024-05-08</t>
  </si>
  <si>
    <t>2024-05-12</t>
  </si>
  <si>
    <t>2024-05-15</t>
  </si>
  <si>
    <t>2024-05-18</t>
  </si>
  <si>
    <t>2024-05-22</t>
  </si>
  <si>
    <t>2024-05-25</t>
  </si>
  <si>
    <t>2024-05-28</t>
  </si>
  <si>
    <t>2024-05-30</t>
  </si>
  <si>
    <t>2024-06-01</t>
  </si>
  <si>
    <t>June</t>
  </si>
  <si>
    <t>2024-06-04</t>
  </si>
  <si>
    <t>2024-06-07</t>
  </si>
  <si>
    <t>2024-06-10</t>
  </si>
  <si>
    <t>2024-06-13</t>
  </si>
  <si>
    <t>2024-06-16</t>
  </si>
  <si>
    <t>2024-06-19</t>
  </si>
  <si>
    <t>2024-06-22</t>
  </si>
  <si>
    <t>2024-06-25</t>
  </si>
  <si>
    <t>2024-06-28</t>
  </si>
  <si>
    <t>2024-07-02</t>
  </si>
  <si>
    <t>July</t>
  </si>
  <si>
    <t>2024-07-05</t>
  </si>
  <si>
    <t>2024-07-08</t>
  </si>
  <si>
    <t>2024-07-12</t>
  </si>
  <si>
    <t>2024-07-15</t>
  </si>
  <si>
    <t>2024-07-18</t>
  </si>
  <si>
    <t>2024-07-22</t>
  </si>
  <si>
    <t>2024-07-25</t>
  </si>
  <si>
    <t>2024-07-28</t>
  </si>
  <si>
    <t>2024-07-30</t>
  </si>
  <si>
    <t>2024-08-01</t>
  </si>
  <si>
    <t>August</t>
  </si>
  <si>
    <t>2024-08-04</t>
  </si>
  <si>
    <t>2024-08-07</t>
  </si>
  <si>
    <t>2024-08-10</t>
  </si>
  <si>
    <t>2024-08-13</t>
  </si>
  <si>
    <t>2024-08-16</t>
  </si>
  <si>
    <t>2024-08-19</t>
  </si>
  <si>
    <t>2024-08-22</t>
  </si>
  <si>
    <t>2024-08-25</t>
  </si>
  <si>
    <t>2024-08-28</t>
  </si>
  <si>
    <t>2024-09-02</t>
  </si>
  <si>
    <t>September</t>
  </si>
  <si>
    <t>2024-09-05</t>
  </si>
  <si>
    <t>2024-09-08</t>
  </si>
  <si>
    <t>2024-09-12</t>
  </si>
  <si>
    <t>2024-09-15</t>
  </si>
  <si>
    <t>2024-09-18</t>
  </si>
  <si>
    <t>2024-09-22</t>
  </si>
  <si>
    <t>2024-09-25</t>
  </si>
  <si>
    <t>2024-09-28</t>
  </si>
  <si>
    <t>2024-09-30</t>
  </si>
  <si>
    <t>2024-10-01</t>
  </si>
  <si>
    <t>October</t>
  </si>
  <si>
    <t>2024-10-04</t>
  </si>
  <si>
    <t>2024-10-07</t>
  </si>
  <si>
    <t>2024-10-10</t>
  </si>
  <si>
    <t>2024-10-13</t>
  </si>
  <si>
    <t>2024-10-16</t>
  </si>
  <si>
    <t>2024-10-19</t>
  </si>
  <si>
    <t>2024-10-22</t>
  </si>
  <si>
    <t>2024-10-25</t>
  </si>
  <si>
    <t>2024-10-28</t>
  </si>
  <si>
    <t>2024-11-02</t>
  </si>
  <si>
    <t>November</t>
  </si>
  <si>
    <t>2024-11-05</t>
  </si>
  <si>
    <t>2024-11-08</t>
  </si>
  <si>
    <t>2024-11-12</t>
  </si>
  <si>
    <t>2024-11-15</t>
  </si>
  <si>
    <t>2024-11-18</t>
  </si>
  <si>
    <t>2024-11-22</t>
  </si>
  <si>
    <t>2024-11-25</t>
  </si>
  <si>
    <t>2024-11-28</t>
  </si>
  <si>
    <t>2024-11-30</t>
  </si>
  <si>
    <t>2024-12-01</t>
  </si>
  <si>
    <t>December</t>
  </si>
  <si>
    <t>2024-12-04</t>
  </si>
  <si>
    <t>2024-12-07</t>
  </si>
  <si>
    <t>2024-12-10</t>
  </si>
  <si>
    <t>2024-12-13</t>
  </si>
  <si>
    <t>2024-12-16</t>
  </si>
  <si>
    <t>2024-12-19</t>
  </si>
  <si>
    <t>2024-12-22</t>
  </si>
  <si>
    <t>2024-12-25</t>
  </si>
  <si>
    <t>2024-12-28</t>
  </si>
  <si>
    <t>Date</t>
  </si>
  <si>
    <t>Category</t>
  </si>
  <si>
    <t>Amount</t>
  </si>
  <si>
    <t>Month_num</t>
  </si>
  <si>
    <t>Month</t>
  </si>
  <si>
    <t>Row Labels</t>
  </si>
  <si>
    <t>Grand Total</t>
  </si>
  <si>
    <t>Sum of Amount</t>
  </si>
  <si>
    <t>SPEND ANALYSIS DASHBOARD</t>
  </si>
  <si>
    <t>TOTAL SPENDING</t>
  </si>
  <si>
    <t>TOTAL TRANSACTIONS</t>
  </si>
  <si>
    <t>AVG MONTHLY SPEND</t>
  </si>
  <si>
    <t>TOP CATEGORY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</si>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</sst>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 Black"/>
      <family val="2"/>
    </font>
    <font>
      <b/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92D050"/>
      </top>
      <bottom/>
      <diagonal/>
    </border>
    <border>
      <left style="medium">
        <color theme="1" tint="0.14999847407452621"/>
      </left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1" tint="0.14999847407452621"/>
      </left>
      <right style="medium">
        <color theme="1" tint="0.14999847407452621"/>
      </right>
      <top/>
      <bottom style="medium">
        <color theme="1" tint="0.149998474074526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[budgetsummary.xlsx]Raw 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Spending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Data'!$H$4:$H$11</c:f>
              <c:strCache>
                <c:ptCount val="7"/>
                <c:pt idx="0">
                  <c:v>Entertainment</c:v>
                </c:pt>
                <c:pt idx="1">
                  <c:v>Food</c:v>
                </c:pt>
                <c:pt idx="2">
                  <c:v>Health</c:v>
                </c:pt>
                <c:pt idx="3">
                  <c:v>Rent</c:v>
                </c:pt>
                <c:pt idx="4">
                  <c:v>Shopping</c:v>
                </c:pt>
                <c:pt idx="5">
                  <c:v>Transport</c:v>
                </c:pt>
                <c:pt idx="6">
                  <c:v>Utilities</c:v>
                </c:pt>
              </c:strCache>
            </c:strRef>
          </c:cat>
          <c:val>
            <c:numRef>
              <c:f>'Raw Data'!$I$4:$I$11</c:f>
              <c:numCache>
                <c:formatCode>General</c:formatCode>
                <c:ptCount val="7"/>
                <c:pt idx="0">
                  <c:v>8320</c:v>
                </c:pt>
                <c:pt idx="1">
                  <c:v>10985</c:v>
                </c:pt>
                <c:pt idx="2">
                  <c:v>11210</c:v>
                </c:pt>
                <c:pt idx="3">
                  <c:v>60000</c:v>
                </c:pt>
                <c:pt idx="4">
                  <c:v>17049</c:v>
                </c:pt>
                <c:pt idx="5">
                  <c:v>2755</c:v>
                </c:pt>
                <c:pt idx="6">
                  <c:v>7420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6-4B28-B9EA-291311BF1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63818895"/>
        <c:axId val="1363835695"/>
      </c:barChart>
      <c:catAx>
        <c:axId val="13638188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35695"/>
        <c:crosses val="autoZero"/>
        <c:auto val="1"/>
        <c:lblAlgn val="ctr"/>
        <c:lblOffset val="100"/>
        <c:noMultiLvlLbl val="0"/>
      </c:catAx>
      <c:valAx>
        <c:axId val="1363835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Spending Trend</a:t>
            </a:r>
          </a:p>
        </c:rich>
      </c:tx>
      <c:layout>
        <c:manualLayout>
          <c:xMode val="edge"/>
          <c:yMode val="edge"/>
          <c:x val="0.33121703635625988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72486483353606E-2"/>
          <c:y val="0.17171296296296298"/>
          <c:w val="0.87211058396880203"/>
          <c:h val="0.60359361329833772"/>
        </c:manualLayout>
      </c:layout>
      <c:lineChart>
        <c:grouping val="standard"/>
        <c:varyColors val="0"/>
        <c:ser>
          <c:idx val="0"/>
          <c:order val="0"/>
          <c:tx>
            <c:strRef>
              <c:f>'By Month'!$B$1</c:f>
              <c:strCache>
                <c:ptCount val="1"/>
                <c:pt idx="0">
                  <c:v>Amount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'By Month'!$A$2:$A$13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'By Month'!$B$2:$B$13</c:f>
              <c:numCache>
                <c:formatCode>General</c:formatCode>
                <c:ptCount val="12"/>
                <c:pt idx="0">
                  <c:v>8899</c:v>
                </c:pt>
                <c:pt idx="1">
                  <c:v>9280</c:v>
                </c:pt>
                <c:pt idx="2">
                  <c:v>9560</c:v>
                </c:pt>
                <c:pt idx="3">
                  <c:v>9360</c:v>
                </c:pt>
                <c:pt idx="4">
                  <c:v>9280</c:v>
                </c:pt>
                <c:pt idx="5">
                  <c:v>10810</c:v>
                </c:pt>
                <c:pt idx="6">
                  <c:v>9330</c:v>
                </c:pt>
                <c:pt idx="7">
                  <c:v>10230</c:v>
                </c:pt>
                <c:pt idx="8">
                  <c:v>9300</c:v>
                </c:pt>
                <c:pt idx="9">
                  <c:v>10925</c:v>
                </c:pt>
                <c:pt idx="10">
                  <c:v>9165</c:v>
                </c:pt>
                <c:pt idx="11">
                  <c:v>11600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F-4470-BCAD-7BEFCF895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026767"/>
        <c:axId val="1418024367"/>
      </c:lineChart>
      <c:catAx>
        <c:axId val="141802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24367"/>
        <c:crosses val="autoZero"/>
        <c:auto val="1"/>
        <c:lblAlgn val="ctr"/>
        <c:lblOffset val="100"/>
        <c:noMultiLvlLbl val="0"/>
      </c:catAx>
      <c:valAx>
        <c:axId val="141802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2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7</xdr:row>
      <xdr:rowOff>83820</xdr:rowOff>
    </xdr:from>
    <xdr:to>
      <xdr:col>5</xdr:col>
      <xdr:colOff>350520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D5FDA-6C28-9ADA-9FA9-699E46E90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7</xdr:row>
      <xdr:rowOff>99060</xdr:rowOff>
    </xdr:from>
    <xdr:to>
      <xdr:col>12</xdr:col>
      <xdr:colOff>502920</xdr:colOff>
      <xdr:row>22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AD1D48-E875-45D8-8981-4469AEAA1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 srivastava" refreshedDate="46110.581186921299" createdVersion="8" refreshedVersion="8" minRefreshableVersion="3" recordCount="120" xr:uid="{A3AB8DE7-F873-4DB6-A144-07FF297A83DD}">
  <cacheSource type="worksheet">
    <worksheetSource ref="A1:E121" sheet="Raw Data"/>
  </cacheSource>
  <cacheFields count="5">
    <cacheField name="Date" numFmtId="0">
      <sharedItems/>
    </cacheField>
    <cacheField name="Category" numFmtId="0">
      <sharedItems count="7">
        <s v="Rent"/>
        <s v="Food"/>
        <s v="Transport"/>
        <s v="Entertainment"/>
        <s v="Health"/>
        <s v="Shopping"/>
        <s v="Utilities"/>
      </sharedItems>
    </cacheField>
    <cacheField name="Amount" numFmtId="0">
      <sharedItems containsSemiMixedTypes="0" containsString="0" containsNumber="1" containsInteger="1" minValue="110" maxValue="5000"/>
    </cacheField>
    <cacheField name="Month_num" numFmtId="0">
      <sharedItems containsSemiMixedTypes="0" containsString="0" containsNumber="1" containsInteger="1" minValue="1" maxValue="1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2024-01-02"/>
    <x v="0"/>
    <n v="5000"/>
    <n v="1"/>
    <x v="0"/>
  </r>
  <r>
    <s v="2024-01-05"/>
    <x v="1"/>
    <n v="350"/>
    <n v="1"/>
    <x v="0"/>
  </r>
  <r>
    <s v="2024-01-08"/>
    <x v="2"/>
    <n v="120"/>
    <n v="1"/>
    <x v="0"/>
  </r>
  <r>
    <s v="2024-01-12"/>
    <x v="3"/>
    <n v="500"/>
    <n v="1"/>
    <x v="0"/>
  </r>
  <r>
    <s v="2024-01-15"/>
    <x v="1"/>
    <n v="200"/>
    <n v="1"/>
    <x v="0"/>
  </r>
  <r>
    <s v="2024-01-18"/>
    <x v="4"/>
    <n v="800"/>
    <n v="1"/>
    <x v="0"/>
  </r>
  <r>
    <s v="2024-01-22"/>
    <x v="5"/>
    <n v="999"/>
    <n v="1"/>
    <x v="0"/>
  </r>
  <r>
    <s v="2024-01-25"/>
    <x v="6"/>
    <n v="600"/>
    <n v="1"/>
    <x v="0"/>
  </r>
  <r>
    <s v="2024-01-28"/>
    <x v="1"/>
    <n v="180"/>
    <n v="1"/>
    <x v="0"/>
  </r>
  <r>
    <s v="2024-01-30"/>
    <x v="2"/>
    <n v="150"/>
    <n v="1"/>
    <x v="0"/>
  </r>
  <r>
    <s v="2024-02-01"/>
    <x v="0"/>
    <n v="5000"/>
    <n v="2"/>
    <x v="1"/>
  </r>
  <r>
    <s v="2024-02-04"/>
    <x v="1"/>
    <n v="400"/>
    <n v="2"/>
    <x v="1"/>
  </r>
  <r>
    <s v="2024-02-07"/>
    <x v="3"/>
    <n v="300"/>
    <n v="2"/>
    <x v="1"/>
  </r>
  <r>
    <s v="2024-02-10"/>
    <x v="2"/>
    <n v="130"/>
    <n v="2"/>
    <x v="1"/>
  </r>
  <r>
    <s v="2024-02-13"/>
    <x v="1"/>
    <n v="250"/>
    <n v="2"/>
    <x v="1"/>
  </r>
  <r>
    <s v="2024-02-16"/>
    <x v="4"/>
    <n v="750"/>
    <n v="2"/>
    <x v="1"/>
  </r>
  <r>
    <s v="2024-02-19"/>
    <x v="5"/>
    <n v="1200"/>
    <n v="2"/>
    <x v="1"/>
  </r>
  <r>
    <s v="2024-02-22"/>
    <x v="6"/>
    <n v="580"/>
    <n v="2"/>
    <x v="1"/>
  </r>
  <r>
    <s v="2024-02-25"/>
    <x v="1"/>
    <n v="220"/>
    <n v="2"/>
    <x v="1"/>
  </r>
  <r>
    <s v="2024-02-28"/>
    <x v="3"/>
    <n v="450"/>
    <n v="2"/>
    <x v="1"/>
  </r>
  <r>
    <s v="2024-03-02"/>
    <x v="0"/>
    <n v="5000"/>
    <n v="3"/>
    <x v="2"/>
  </r>
  <r>
    <s v="2024-03-05"/>
    <x v="1"/>
    <n v="370"/>
    <n v="3"/>
    <x v="2"/>
  </r>
  <r>
    <s v="2024-03-08"/>
    <x v="2"/>
    <n v="140"/>
    <n v="3"/>
    <x v="2"/>
  </r>
  <r>
    <s v="2024-03-12"/>
    <x v="5"/>
    <n v="850"/>
    <n v="3"/>
    <x v="2"/>
  </r>
  <r>
    <s v="2024-03-15"/>
    <x v="1"/>
    <n v="230"/>
    <n v="3"/>
    <x v="2"/>
  </r>
  <r>
    <s v="2024-03-18"/>
    <x v="4"/>
    <n v="900"/>
    <n v="3"/>
    <x v="2"/>
  </r>
  <r>
    <s v="2024-03-22"/>
    <x v="3"/>
    <n v="1100"/>
    <n v="3"/>
    <x v="2"/>
  </r>
  <r>
    <s v="2024-03-25"/>
    <x v="6"/>
    <n v="620"/>
    <n v="3"/>
    <x v="2"/>
  </r>
  <r>
    <s v="2024-03-28"/>
    <x v="1"/>
    <n v="190"/>
    <n v="3"/>
    <x v="2"/>
  </r>
  <r>
    <s v="2024-03-30"/>
    <x v="2"/>
    <n v="160"/>
    <n v="3"/>
    <x v="2"/>
  </r>
  <r>
    <s v="2024-04-01"/>
    <x v="0"/>
    <n v="5000"/>
    <n v="4"/>
    <x v="3"/>
  </r>
  <r>
    <s v="2024-04-04"/>
    <x v="1"/>
    <n v="420"/>
    <n v="4"/>
    <x v="3"/>
  </r>
  <r>
    <s v="2024-04-07"/>
    <x v="4"/>
    <n v="110"/>
    <n v="4"/>
    <x v="3"/>
  </r>
  <r>
    <s v="2024-04-10"/>
    <x v="2"/>
    <n v="200"/>
    <n v="4"/>
    <x v="3"/>
  </r>
  <r>
    <s v="2024-04-13"/>
    <x v="1"/>
    <n v="280"/>
    <n v="4"/>
    <x v="3"/>
  </r>
  <r>
    <s v="2024-04-16"/>
    <x v="5"/>
    <n v="820"/>
    <n v="4"/>
    <x v="3"/>
  </r>
  <r>
    <s v="2024-04-19"/>
    <x v="3"/>
    <n v="950"/>
    <n v="4"/>
    <x v="3"/>
  </r>
  <r>
    <s v="2024-04-22"/>
    <x v="6"/>
    <n v="590"/>
    <n v="4"/>
    <x v="3"/>
  </r>
  <r>
    <s v="2024-04-25"/>
    <x v="1"/>
    <n v="210"/>
    <n v="4"/>
    <x v="3"/>
  </r>
  <r>
    <s v="2024-04-28"/>
    <x v="4"/>
    <n v="780"/>
    <n v="4"/>
    <x v="3"/>
  </r>
  <r>
    <s v="2024-05-02"/>
    <x v="0"/>
    <n v="5000"/>
    <n v="5"/>
    <x v="4"/>
  </r>
  <r>
    <s v="2024-05-05"/>
    <x v="1"/>
    <n v="390"/>
    <n v="5"/>
    <x v="4"/>
  </r>
  <r>
    <s v="2024-05-08"/>
    <x v="2"/>
    <n v="130"/>
    <n v="5"/>
    <x v="4"/>
  </r>
  <r>
    <s v="2024-05-12"/>
    <x v="3"/>
    <n v="600"/>
    <n v="5"/>
    <x v="4"/>
  </r>
  <r>
    <s v="2024-05-15"/>
    <x v="1"/>
    <n v="260"/>
    <n v="5"/>
    <x v="4"/>
  </r>
  <r>
    <s v="2024-05-18"/>
    <x v="4"/>
    <n v="870"/>
    <n v="5"/>
    <x v="4"/>
  </r>
  <r>
    <s v="2024-05-22"/>
    <x v="5"/>
    <n v="1050"/>
    <n v="5"/>
    <x v="4"/>
  </r>
  <r>
    <s v="2024-05-25"/>
    <x v="6"/>
    <n v="610"/>
    <n v="5"/>
    <x v="4"/>
  </r>
  <r>
    <s v="2024-05-28"/>
    <x v="1"/>
    <n v="200"/>
    <n v="5"/>
    <x v="4"/>
  </r>
  <r>
    <s v="2024-05-30"/>
    <x v="2"/>
    <n v="170"/>
    <n v="5"/>
    <x v="4"/>
  </r>
  <r>
    <s v="2024-06-01"/>
    <x v="0"/>
    <n v="5000"/>
    <n v="6"/>
    <x v="5"/>
  </r>
  <r>
    <s v="2024-06-04"/>
    <x v="1"/>
    <n v="450"/>
    <n v="6"/>
    <x v="5"/>
  </r>
  <r>
    <s v="2024-06-07"/>
    <x v="5"/>
    <n v="1300"/>
    <n v="6"/>
    <x v="5"/>
  </r>
  <r>
    <s v="2024-06-10"/>
    <x v="2"/>
    <n v="180"/>
    <n v="6"/>
    <x v="5"/>
  </r>
  <r>
    <s v="2024-06-13"/>
    <x v="1"/>
    <n v="300"/>
    <n v="6"/>
    <x v="5"/>
  </r>
  <r>
    <s v="2024-06-16"/>
    <x v="4"/>
    <n v="910"/>
    <n v="6"/>
    <x v="5"/>
  </r>
  <r>
    <s v="2024-06-19"/>
    <x v="3"/>
    <n v="700"/>
    <n v="6"/>
    <x v="5"/>
  </r>
  <r>
    <s v="2024-06-22"/>
    <x v="6"/>
    <n v="630"/>
    <n v="6"/>
    <x v="5"/>
  </r>
  <r>
    <s v="2024-06-25"/>
    <x v="1"/>
    <n v="240"/>
    <n v="6"/>
    <x v="5"/>
  </r>
  <r>
    <s v="2024-06-28"/>
    <x v="5"/>
    <n v="1100"/>
    <n v="6"/>
    <x v="5"/>
  </r>
  <r>
    <s v="2024-07-02"/>
    <x v="0"/>
    <n v="5000"/>
    <n v="7"/>
    <x v="6"/>
  </r>
  <r>
    <s v="2024-07-05"/>
    <x v="1"/>
    <n v="410"/>
    <n v="7"/>
    <x v="6"/>
  </r>
  <r>
    <s v="2024-07-08"/>
    <x v="2"/>
    <n v="150"/>
    <n v="7"/>
    <x v="6"/>
  </r>
  <r>
    <s v="2024-07-12"/>
    <x v="3"/>
    <n v="550"/>
    <n v="7"/>
    <x v="6"/>
  </r>
  <r>
    <s v="2024-07-15"/>
    <x v="1"/>
    <n v="270"/>
    <n v="7"/>
    <x v="6"/>
  </r>
  <r>
    <s v="2024-07-18"/>
    <x v="4"/>
    <n v="840"/>
    <n v="7"/>
    <x v="6"/>
  </r>
  <r>
    <s v="2024-07-22"/>
    <x v="5"/>
    <n v="1150"/>
    <n v="7"/>
    <x v="6"/>
  </r>
  <r>
    <s v="2024-07-25"/>
    <x v="6"/>
    <n v="600"/>
    <n v="7"/>
    <x v="6"/>
  </r>
  <r>
    <s v="2024-07-28"/>
    <x v="1"/>
    <n v="220"/>
    <n v="7"/>
    <x v="6"/>
  </r>
  <r>
    <s v="2024-07-30"/>
    <x v="2"/>
    <n v="140"/>
    <n v="7"/>
    <x v="6"/>
  </r>
  <r>
    <s v="2024-08-01"/>
    <x v="0"/>
    <n v="5000"/>
    <n v="8"/>
    <x v="7"/>
  </r>
  <r>
    <s v="2024-08-04"/>
    <x v="1"/>
    <n v="380"/>
    <n v="8"/>
    <x v="7"/>
  </r>
  <r>
    <s v="2024-08-07"/>
    <x v="4"/>
    <n v="860"/>
    <n v="8"/>
    <x v="7"/>
  </r>
  <r>
    <s v="2024-08-10"/>
    <x v="5"/>
    <n v="1250"/>
    <n v="8"/>
    <x v="7"/>
  </r>
  <r>
    <s v="2024-08-13"/>
    <x v="1"/>
    <n v="290"/>
    <n v="8"/>
    <x v="7"/>
  </r>
  <r>
    <s v="2024-08-16"/>
    <x v="2"/>
    <n v="160"/>
    <n v="8"/>
    <x v="7"/>
  </r>
  <r>
    <s v="2024-08-19"/>
    <x v="3"/>
    <n v="650"/>
    <n v="8"/>
    <x v="7"/>
  </r>
  <r>
    <s v="2024-08-22"/>
    <x v="6"/>
    <n v="615"/>
    <n v="8"/>
    <x v="7"/>
  </r>
  <r>
    <s v="2024-08-25"/>
    <x v="1"/>
    <n v="235"/>
    <n v="8"/>
    <x v="7"/>
  </r>
  <r>
    <s v="2024-08-28"/>
    <x v="4"/>
    <n v="790"/>
    <n v="8"/>
    <x v="7"/>
  </r>
  <r>
    <s v="2024-09-02"/>
    <x v="0"/>
    <n v="5000"/>
    <n v="9"/>
    <x v="8"/>
  </r>
  <r>
    <s v="2024-09-05"/>
    <x v="1"/>
    <n v="430"/>
    <n v="9"/>
    <x v="8"/>
  </r>
  <r>
    <s v="2024-09-08"/>
    <x v="2"/>
    <n v="125"/>
    <n v="9"/>
    <x v="8"/>
  </r>
  <r>
    <s v="2024-09-12"/>
    <x v="3"/>
    <n v="480"/>
    <n v="9"/>
    <x v="8"/>
  </r>
  <r>
    <s v="2024-09-15"/>
    <x v="1"/>
    <n v="310"/>
    <n v="9"/>
    <x v="8"/>
  </r>
  <r>
    <s v="2024-09-18"/>
    <x v="4"/>
    <n v="880"/>
    <n v="9"/>
    <x v="8"/>
  </r>
  <r>
    <s v="2024-09-22"/>
    <x v="5"/>
    <n v="1080"/>
    <n v="9"/>
    <x v="8"/>
  </r>
  <r>
    <s v="2024-09-25"/>
    <x v="6"/>
    <n v="625"/>
    <n v="9"/>
    <x v="8"/>
  </r>
  <r>
    <s v="2024-09-28"/>
    <x v="1"/>
    <n v="215"/>
    <n v="9"/>
    <x v="8"/>
  </r>
  <r>
    <s v="2024-09-30"/>
    <x v="2"/>
    <n v="155"/>
    <n v="9"/>
    <x v="8"/>
  </r>
  <r>
    <s v="2024-10-01"/>
    <x v="0"/>
    <n v="5000"/>
    <n v="10"/>
    <x v="9"/>
  </r>
  <r>
    <s v="2024-10-04"/>
    <x v="1"/>
    <n v="460"/>
    <n v="10"/>
    <x v="9"/>
  </r>
  <r>
    <s v="2024-10-07"/>
    <x v="5"/>
    <n v="1400"/>
    <n v="10"/>
    <x v="9"/>
  </r>
  <r>
    <s v="2024-10-10"/>
    <x v="2"/>
    <n v="165"/>
    <n v="10"/>
    <x v="9"/>
  </r>
  <r>
    <s v="2024-10-13"/>
    <x v="1"/>
    <n v="320"/>
    <n v="10"/>
    <x v="9"/>
  </r>
  <r>
    <s v="2024-10-16"/>
    <x v="4"/>
    <n v="920"/>
    <n v="10"/>
    <x v="9"/>
  </r>
  <r>
    <s v="2024-10-19"/>
    <x v="3"/>
    <n v="720"/>
    <n v="10"/>
    <x v="9"/>
  </r>
  <r>
    <s v="2024-10-22"/>
    <x v="6"/>
    <n v="640"/>
    <n v="10"/>
    <x v="9"/>
  </r>
  <r>
    <s v="2024-10-25"/>
    <x v="1"/>
    <n v="250"/>
    <n v="10"/>
    <x v="9"/>
  </r>
  <r>
    <s v="2024-10-28"/>
    <x v="5"/>
    <n v="1050"/>
    <n v="10"/>
    <x v="9"/>
  </r>
  <r>
    <s v="2024-11-02"/>
    <x v="0"/>
    <n v="5000"/>
    <n v="11"/>
    <x v="10"/>
  </r>
  <r>
    <s v="2024-11-05"/>
    <x v="1"/>
    <n v="400"/>
    <n v="11"/>
    <x v="10"/>
  </r>
  <r>
    <s v="2024-11-08"/>
    <x v="2"/>
    <n v="135"/>
    <n v="11"/>
    <x v="10"/>
  </r>
  <r>
    <s v="2024-11-12"/>
    <x v="3"/>
    <n v="520"/>
    <n v="11"/>
    <x v="10"/>
  </r>
  <r>
    <s v="2024-11-15"/>
    <x v="1"/>
    <n v="280"/>
    <n v="11"/>
    <x v="10"/>
  </r>
  <r>
    <s v="2024-11-18"/>
    <x v="4"/>
    <n v="850"/>
    <n v="11"/>
    <x v="10"/>
  </r>
  <r>
    <s v="2024-11-22"/>
    <x v="5"/>
    <n v="1000"/>
    <n v="11"/>
    <x v="10"/>
  </r>
  <r>
    <s v="2024-11-25"/>
    <x v="6"/>
    <n v="610"/>
    <n v="11"/>
    <x v="10"/>
  </r>
  <r>
    <s v="2024-11-28"/>
    <x v="1"/>
    <n v="225"/>
    <n v="11"/>
    <x v="10"/>
  </r>
  <r>
    <s v="2024-11-30"/>
    <x v="2"/>
    <n v="145"/>
    <n v="11"/>
    <x v="10"/>
  </r>
  <r>
    <s v="2024-12-01"/>
    <x v="0"/>
    <n v="5000"/>
    <n v="12"/>
    <x v="11"/>
  </r>
  <r>
    <s v="2024-12-04"/>
    <x v="1"/>
    <n v="500"/>
    <n v="12"/>
    <x v="11"/>
  </r>
  <r>
    <s v="2024-12-07"/>
    <x v="5"/>
    <n v="1500"/>
    <n v="12"/>
    <x v="11"/>
  </r>
  <r>
    <s v="2024-12-10"/>
    <x v="3"/>
    <n v="800"/>
    <n v="12"/>
    <x v="11"/>
  </r>
  <r>
    <s v="2024-12-13"/>
    <x v="1"/>
    <n v="350"/>
    <n v="12"/>
    <x v="11"/>
  </r>
  <r>
    <s v="2024-12-16"/>
    <x v="4"/>
    <n v="950"/>
    <n v="12"/>
    <x v="11"/>
  </r>
  <r>
    <s v="2024-12-19"/>
    <x v="2"/>
    <n v="200"/>
    <n v="12"/>
    <x v="11"/>
  </r>
  <r>
    <s v="2024-12-22"/>
    <x v="6"/>
    <n v="700"/>
    <n v="12"/>
    <x v="11"/>
  </r>
  <r>
    <s v="2024-12-25"/>
    <x v="1"/>
    <n v="300"/>
    <n v="12"/>
    <x v="11"/>
  </r>
  <r>
    <s v="2024-12-28"/>
    <x v="5"/>
    <n v="1300"/>
    <n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F64E1-4D78-4ACD-962A-B59FFEE1510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H3:I11" firstHeaderRow="1" firstDataRow="1" firstDataCol="1"/>
  <pivotFields count="5">
    <pivotField showAll="0"/>
    <pivotField axis="axisRow" showAll="0">
      <items count="8">
        <item x="3"/>
        <item x="1"/>
        <item x="4"/>
        <item x="0"/>
        <item x="5"/>
        <item x="2"/>
        <item x="6"/>
        <item t="default"/>
      </items>
    </pivotField>
    <pivotField dataField="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E84D-0EFC-43B3-96CF-1E5D1BA032D3}">
  <dimension ref="A1:U26"/>
  <sheetViews>
    <sheetView tabSelected="1" workbookViewId="0">
      <selection activeCell="F17" sqref="F17"/>
    </sheetView>
  </sheetViews>
  <sheetFormatPr defaultRowHeight="14.4" x14ac:dyDescent="0.3"/>
  <cols>
    <col min="1" max="1" width="12.6640625" bestFit="1" customWidth="1"/>
    <col min="2" max="2" width="20.5546875" customWidth="1"/>
    <col min="3" max="3" width="10.88671875" customWidth="1"/>
    <col min="4" max="4" width="10.33203125" customWidth="1"/>
    <col min="5" max="5" width="27.33203125" bestFit="1" customWidth="1"/>
    <col min="6" max="6" width="9.6640625" style="6" customWidth="1"/>
    <col min="7" max="7" width="10.6640625" customWidth="1"/>
    <col min="8" max="8" width="26.33203125" bestFit="1" customWidth="1"/>
    <col min="9" max="9" width="10.109375" customWidth="1"/>
    <col min="10" max="10" width="10" customWidth="1"/>
    <col min="11" max="11" width="18.88671875" bestFit="1" customWidth="1"/>
    <col min="12" max="12" width="8.6640625" customWidth="1"/>
  </cols>
  <sheetData>
    <row r="1" spans="1:21" ht="14.4" customHeight="1" x14ac:dyDescent="0.3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6"/>
      <c r="Q1" s="6"/>
      <c r="R1" s="6"/>
      <c r="S1" s="6"/>
      <c r="T1" s="6"/>
      <c r="U1" s="6"/>
    </row>
    <row r="2" spans="1:21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6"/>
      <c r="Q2" s="6"/>
      <c r="R2" s="6"/>
      <c r="S2" s="6"/>
      <c r="T2" s="6"/>
      <c r="U2" s="6"/>
    </row>
    <row r="3" spans="1:2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6"/>
      <c r="Q3" s="6"/>
      <c r="R3" s="6"/>
      <c r="S3" s="6"/>
      <c r="T3" s="6"/>
      <c r="U3" s="6"/>
    </row>
    <row r="4" spans="1:21" ht="15" thickBot="1" x14ac:dyDescent="0.35">
      <c r="A4" s="14"/>
      <c r="B4" s="14"/>
      <c r="C4" s="14"/>
      <c r="D4" s="14"/>
      <c r="E4" s="14"/>
      <c r="F4" s="13"/>
      <c r="G4" s="14"/>
      <c r="H4" s="14"/>
      <c r="I4" s="14"/>
      <c r="J4" s="14"/>
      <c r="K4" s="14"/>
      <c r="L4" s="14"/>
      <c r="M4" s="14"/>
      <c r="N4" s="14"/>
      <c r="O4" s="14"/>
    </row>
    <row r="5" spans="1:21" ht="28.2" customHeight="1" x14ac:dyDescent="0.3">
      <c r="A5" s="14"/>
      <c r="B5" s="9" t="s">
        <v>148</v>
      </c>
      <c r="C5" s="14"/>
      <c r="D5" s="14"/>
      <c r="E5" s="11" t="s">
        <v>149</v>
      </c>
      <c r="F5" s="13"/>
      <c r="G5" s="14"/>
      <c r="H5" s="11" t="s">
        <v>150</v>
      </c>
      <c r="I5" s="14"/>
      <c r="J5" s="14"/>
      <c r="K5" s="11" t="s">
        <v>151</v>
      </c>
      <c r="L5" s="14"/>
      <c r="M5" s="14"/>
      <c r="N5" s="14"/>
      <c r="O5" s="14"/>
    </row>
    <row r="6" spans="1:21" ht="18" thickBot="1" x14ac:dyDescent="0.35">
      <c r="A6" s="14"/>
      <c r="B6" s="10">
        <f>SUM('Raw Data'!C:C)</f>
        <v>117739</v>
      </c>
      <c r="C6" s="14"/>
      <c r="D6" s="14"/>
      <c r="E6" s="12">
        <f>COUNTA('Raw Data'!C:C)</f>
        <v>121</v>
      </c>
      <c r="F6" s="13"/>
      <c r="G6" s="14"/>
      <c r="H6" s="12">
        <f>SUM('Raw Data'!C:C)/12</f>
        <v>9811.5833333333339</v>
      </c>
      <c r="I6" s="14"/>
      <c r="J6" s="14"/>
      <c r="K6" s="12" t="str">
        <f>INDEX('Raw Data'!B:B,MATCH(MAX('Raw Data'!C:C),'Raw Data'!C:C,0))</f>
        <v>Rent</v>
      </c>
      <c r="L6" s="14"/>
      <c r="M6" s="14"/>
      <c r="N6" s="14"/>
      <c r="O6" s="14"/>
    </row>
    <row r="7" spans="1:21" x14ac:dyDescent="0.3">
      <c r="A7" s="14"/>
      <c r="B7" s="14"/>
      <c r="C7" s="14"/>
      <c r="D7" s="14"/>
      <c r="E7" s="14"/>
      <c r="F7" s="13"/>
      <c r="G7" s="14"/>
      <c r="H7" s="14"/>
      <c r="I7" s="14"/>
      <c r="J7" s="14"/>
      <c r="K7" s="14"/>
      <c r="L7" s="14"/>
      <c r="M7" s="14"/>
      <c r="N7" s="14"/>
      <c r="O7" s="14"/>
    </row>
    <row r="8" spans="1:21" x14ac:dyDescent="0.3">
      <c r="A8" s="14"/>
      <c r="B8" s="14"/>
      <c r="C8" s="14"/>
      <c r="D8" s="14"/>
      <c r="E8" s="14"/>
      <c r="F8" s="13"/>
      <c r="G8" s="14"/>
      <c r="H8" s="14"/>
      <c r="I8" s="14"/>
      <c r="J8" s="14"/>
      <c r="K8" s="14"/>
      <c r="L8" s="14"/>
      <c r="M8" s="14"/>
      <c r="N8" s="14"/>
      <c r="O8" s="14"/>
    </row>
    <row r="9" spans="1:21" x14ac:dyDescent="0.3">
      <c r="A9" s="14"/>
      <c r="B9" s="14"/>
      <c r="C9" s="14"/>
      <c r="D9" s="14"/>
      <c r="E9" s="14"/>
      <c r="F9" s="13"/>
      <c r="G9" s="14"/>
      <c r="H9" s="14"/>
      <c r="I9" s="14"/>
      <c r="J9" s="14"/>
      <c r="K9" s="14"/>
      <c r="L9" s="14"/>
      <c r="M9" s="14"/>
      <c r="N9" s="14"/>
      <c r="O9" s="14"/>
    </row>
    <row r="10" spans="1:21" x14ac:dyDescent="0.3">
      <c r="A10" s="14"/>
      <c r="B10" s="14"/>
      <c r="C10" s="14"/>
      <c r="D10" s="14"/>
      <c r="E10" s="14"/>
      <c r="F10" s="13"/>
      <c r="G10" s="14"/>
      <c r="H10" s="14"/>
      <c r="I10" s="14"/>
      <c r="J10" s="14"/>
      <c r="K10" s="14"/>
      <c r="L10" s="14"/>
      <c r="M10" s="14"/>
      <c r="N10" s="14"/>
      <c r="O10" s="14"/>
    </row>
    <row r="11" spans="1:21" x14ac:dyDescent="0.3">
      <c r="A11" s="14"/>
      <c r="B11" s="14"/>
      <c r="C11" s="14"/>
      <c r="D11" s="14"/>
      <c r="E11" s="14"/>
      <c r="F11" s="13"/>
      <c r="G11" s="14"/>
      <c r="H11" s="14"/>
      <c r="I11" s="14"/>
      <c r="J11" s="14"/>
      <c r="K11" s="14"/>
      <c r="L11" s="14"/>
      <c r="M11" s="14"/>
      <c r="N11" s="14"/>
      <c r="O11" s="14"/>
    </row>
    <row r="12" spans="1:21" x14ac:dyDescent="0.3">
      <c r="A12" s="14"/>
      <c r="B12" s="15"/>
      <c r="C12" s="14"/>
      <c r="D12" s="14"/>
      <c r="E12" s="14"/>
      <c r="F12" s="13"/>
      <c r="G12" s="14"/>
      <c r="H12" s="14"/>
      <c r="I12" s="14"/>
      <c r="J12" s="14"/>
      <c r="K12" s="14"/>
      <c r="L12" s="14"/>
      <c r="M12" s="14"/>
      <c r="N12" s="14"/>
      <c r="O12" s="14"/>
    </row>
    <row r="13" spans="1:21" x14ac:dyDescent="0.3">
      <c r="A13" s="14"/>
      <c r="B13" s="14"/>
      <c r="C13" s="14"/>
      <c r="D13" s="14"/>
      <c r="E13" s="14"/>
      <c r="F13" s="13"/>
      <c r="G13" s="14"/>
      <c r="H13" s="14"/>
      <c r="I13" s="14"/>
      <c r="J13" s="14"/>
      <c r="K13" s="14"/>
      <c r="L13" s="14"/>
      <c r="M13" s="14"/>
      <c r="N13" s="14"/>
      <c r="O13" s="14"/>
    </row>
    <row r="14" spans="1:21" x14ac:dyDescent="0.3">
      <c r="A14" s="14"/>
      <c r="B14" s="14"/>
      <c r="C14" s="14"/>
      <c r="D14" s="14"/>
      <c r="E14" s="14"/>
      <c r="F14" s="13"/>
      <c r="G14" s="14"/>
      <c r="H14" s="14"/>
      <c r="I14" s="14"/>
      <c r="J14" s="14"/>
      <c r="K14" s="14"/>
      <c r="L14" s="14"/>
      <c r="M14" s="14"/>
      <c r="N14" s="14"/>
      <c r="O14" s="14"/>
    </row>
    <row r="15" spans="1:21" x14ac:dyDescent="0.3">
      <c r="A15" s="14"/>
      <c r="B15" s="14"/>
      <c r="C15" s="14"/>
      <c r="D15" s="14"/>
      <c r="E15" s="14"/>
      <c r="F15" s="13"/>
      <c r="G15" s="14"/>
      <c r="H15" s="14"/>
      <c r="I15" s="14"/>
      <c r="J15" s="14"/>
      <c r="K15" s="14"/>
      <c r="L15" s="14"/>
      <c r="M15" s="14"/>
      <c r="N15" s="14"/>
      <c r="O15" s="14"/>
    </row>
    <row r="16" spans="1:21" x14ac:dyDescent="0.3">
      <c r="A16" s="14"/>
      <c r="B16" s="14"/>
      <c r="C16" s="14"/>
      <c r="D16" s="14"/>
      <c r="E16" s="14"/>
      <c r="F16" s="13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3">
      <c r="A17" s="14"/>
      <c r="B17" s="14"/>
      <c r="C17" s="14"/>
      <c r="D17" s="14"/>
      <c r="E17" s="14"/>
      <c r="F17" s="13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3">
      <c r="A18" s="14"/>
      <c r="B18" s="14"/>
      <c r="C18" s="14"/>
      <c r="D18" s="14"/>
      <c r="E18" s="14"/>
      <c r="F18" s="13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3">
      <c r="A19" s="14"/>
      <c r="B19" s="14"/>
      <c r="C19" s="14"/>
      <c r="D19" s="14"/>
      <c r="E19" s="14"/>
      <c r="F19" s="13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3">
      <c r="A20" s="14"/>
      <c r="B20" s="14"/>
      <c r="C20" s="14"/>
      <c r="D20" s="14"/>
      <c r="E20" s="14"/>
      <c r="F20" s="13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3">
      <c r="A21" s="14"/>
      <c r="B21" s="14"/>
      <c r="C21" s="14"/>
      <c r="D21" s="14"/>
      <c r="E21" s="14"/>
      <c r="F21" s="13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3">
      <c r="A22" s="14"/>
      <c r="B22" s="14"/>
      <c r="C22" s="14"/>
      <c r="D22" s="14"/>
      <c r="E22" s="14"/>
      <c r="F22" s="13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3">
      <c r="A23" s="14"/>
      <c r="B23" s="14"/>
      <c r="C23" s="14"/>
      <c r="D23" s="14"/>
      <c r="E23" s="14"/>
      <c r="F23" s="13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3">
      <c r="A24" s="14"/>
      <c r="B24" s="14"/>
      <c r="C24" s="14"/>
      <c r="D24" s="14"/>
      <c r="E24" s="14"/>
      <c r="F24" s="13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3">
      <c r="A25" s="14"/>
      <c r="B25" s="14"/>
      <c r="C25" s="14"/>
      <c r="D25" s="14"/>
      <c r="E25" s="14"/>
      <c r="F25" s="13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3">
      <c r="A26" s="14"/>
      <c r="B26" s="14"/>
      <c r="C26" s="14"/>
      <c r="D26" s="14"/>
      <c r="E26" s="14"/>
      <c r="F26" s="13"/>
      <c r="G26" s="14"/>
      <c r="H26" s="14"/>
      <c r="I26" s="14"/>
      <c r="J26" s="14"/>
      <c r="K26" s="14"/>
      <c r="L26" s="14"/>
      <c r="M26" s="14"/>
      <c r="N26" s="14"/>
      <c r="O26" s="14"/>
    </row>
  </sheetData>
  <mergeCells count="1">
    <mergeCell ref="A1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K5" sqref="K5"/>
    </sheetView>
  </sheetViews>
  <sheetFormatPr defaultRowHeight="14.4" x14ac:dyDescent="0.3"/>
  <cols>
    <col min="1" max="1" width="10.33203125" bestFit="1" customWidth="1"/>
    <col min="2" max="2" width="12.6640625" bestFit="1" customWidth="1"/>
    <col min="4" max="4" width="11.5546875" bestFit="1" customWidth="1"/>
    <col min="8" max="8" width="12.6640625" bestFit="1" customWidth="1"/>
    <col min="9" max="9" width="14.44140625" bestFit="1" customWidth="1"/>
  </cols>
  <sheetData>
    <row r="1" spans="1:9" x14ac:dyDescent="0.3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H1" s="7" t="s">
        <v>152</v>
      </c>
      <c r="I1" s="5"/>
    </row>
    <row r="2" spans="1:9" x14ac:dyDescent="0.3">
      <c r="A2" t="s">
        <v>0</v>
      </c>
      <c r="B2" t="s">
        <v>1</v>
      </c>
      <c r="C2">
        <v>5000</v>
      </c>
      <c r="D2">
        <v>1</v>
      </c>
      <c r="E2" t="s">
        <v>2</v>
      </c>
      <c r="H2" s="5"/>
      <c r="I2" s="5"/>
    </row>
    <row r="3" spans="1:9" x14ac:dyDescent="0.3">
      <c r="A3" t="s">
        <v>3</v>
      </c>
      <c r="B3" t="s">
        <v>4</v>
      </c>
      <c r="C3">
        <v>350</v>
      </c>
      <c r="D3">
        <v>1</v>
      </c>
      <c r="E3" t="s">
        <v>2</v>
      </c>
      <c r="H3" s="2" t="s">
        <v>144</v>
      </c>
      <c r="I3" t="s">
        <v>146</v>
      </c>
    </row>
    <row r="4" spans="1:9" x14ac:dyDescent="0.3">
      <c r="A4" t="s">
        <v>5</v>
      </c>
      <c r="B4" t="s">
        <v>6</v>
      </c>
      <c r="C4">
        <v>120</v>
      </c>
      <c r="D4">
        <v>1</v>
      </c>
      <c r="E4" t="s">
        <v>2</v>
      </c>
      <c r="H4" s="3" t="s">
        <v>8</v>
      </c>
      <c r="I4" s="4">
        <v>8320</v>
      </c>
    </row>
    <row r="5" spans="1:9" x14ac:dyDescent="0.3">
      <c r="A5" t="s">
        <v>7</v>
      </c>
      <c r="B5" t="s">
        <v>8</v>
      </c>
      <c r="C5">
        <v>500</v>
      </c>
      <c r="D5">
        <v>1</v>
      </c>
      <c r="E5" t="s">
        <v>2</v>
      </c>
      <c r="H5" s="3" t="s">
        <v>4</v>
      </c>
      <c r="I5" s="4">
        <v>10985</v>
      </c>
    </row>
    <row r="6" spans="1:9" x14ac:dyDescent="0.3">
      <c r="A6" t="s">
        <v>9</v>
      </c>
      <c r="B6" t="s">
        <v>4</v>
      </c>
      <c r="C6">
        <v>200</v>
      </c>
      <c r="D6">
        <v>1</v>
      </c>
      <c r="E6" t="s">
        <v>2</v>
      </c>
      <c r="H6" s="3" t="s">
        <v>11</v>
      </c>
      <c r="I6" s="4">
        <v>11210</v>
      </c>
    </row>
    <row r="7" spans="1:9" x14ac:dyDescent="0.3">
      <c r="A7" t="s">
        <v>10</v>
      </c>
      <c r="B7" t="s">
        <v>11</v>
      </c>
      <c r="C7">
        <v>800</v>
      </c>
      <c r="D7">
        <v>1</v>
      </c>
      <c r="E7" t="s">
        <v>2</v>
      </c>
      <c r="H7" s="3" t="s">
        <v>1</v>
      </c>
      <c r="I7" s="4">
        <v>60000</v>
      </c>
    </row>
    <row r="8" spans="1:9" x14ac:dyDescent="0.3">
      <c r="A8" t="s">
        <v>12</v>
      </c>
      <c r="B8" t="s">
        <v>13</v>
      </c>
      <c r="C8">
        <v>999</v>
      </c>
      <c r="D8">
        <v>1</v>
      </c>
      <c r="E8" t="s">
        <v>2</v>
      </c>
      <c r="H8" s="3" t="s">
        <v>13</v>
      </c>
      <c r="I8" s="4">
        <v>17049</v>
      </c>
    </row>
    <row r="9" spans="1:9" x14ac:dyDescent="0.3">
      <c r="A9" t="s">
        <v>14</v>
      </c>
      <c r="B9" t="s">
        <v>15</v>
      </c>
      <c r="C9">
        <v>600</v>
      </c>
      <c r="D9">
        <v>1</v>
      </c>
      <c r="E9" t="s">
        <v>2</v>
      </c>
      <c r="H9" s="3" t="s">
        <v>6</v>
      </c>
      <c r="I9" s="4">
        <v>2755</v>
      </c>
    </row>
    <row r="10" spans="1:9" x14ac:dyDescent="0.3">
      <c r="A10" t="s">
        <v>16</v>
      </c>
      <c r="B10" t="s">
        <v>4</v>
      </c>
      <c r="C10">
        <v>180</v>
      </c>
      <c r="D10">
        <v>1</v>
      </c>
      <c r="E10" t="s">
        <v>2</v>
      </c>
      <c r="H10" s="3" t="s">
        <v>15</v>
      </c>
      <c r="I10" s="4">
        <v>7420</v>
      </c>
    </row>
    <row r="11" spans="1:9" x14ac:dyDescent="0.3">
      <c r="A11" t="s">
        <v>17</v>
      </c>
      <c r="B11" t="s">
        <v>6</v>
      </c>
      <c r="C11">
        <v>150</v>
      </c>
      <c r="D11">
        <v>1</v>
      </c>
      <c r="E11" t="s">
        <v>2</v>
      </c>
      <c r="H11" s="3" t="s">
        <v>145</v>
      </c>
      <c r="I11" s="4">
        <v>117739</v>
      </c>
    </row>
    <row r="12" spans="1:9" x14ac:dyDescent="0.3">
      <c r="A12" t="s">
        <v>18</v>
      </c>
      <c r="B12" t="s">
        <v>1</v>
      </c>
      <c r="C12">
        <v>5000</v>
      </c>
      <c r="D12">
        <v>2</v>
      </c>
      <c r="E12" t="s">
        <v>19</v>
      </c>
    </row>
    <row r="13" spans="1:9" x14ac:dyDescent="0.3">
      <c r="A13" t="s">
        <v>20</v>
      </c>
      <c r="B13" t="s">
        <v>4</v>
      </c>
      <c r="C13">
        <v>400</v>
      </c>
      <c r="D13">
        <v>2</v>
      </c>
      <c r="E13" t="s">
        <v>19</v>
      </c>
    </row>
    <row r="14" spans="1:9" x14ac:dyDescent="0.3">
      <c r="A14" t="s">
        <v>21</v>
      </c>
      <c r="B14" t="s">
        <v>8</v>
      </c>
      <c r="C14">
        <v>300</v>
      </c>
      <c r="D14">
        <v>2</v>
      </c>
      <c r="E14" t="s">
        <v>19</v>
      </c>
    </row>
    <row r="15" spans="1:9" x14ac:dyDescent="0.3">
      <c r="A15" t="s">
        <v>22</v>
      </c>
      <c r="B15" t="s">
        <v>6</v>
      </c>
      <c r="C15">
        <v>130</v>
      </c>
      <c r="D15">
        <v>2</v>
      </c>
      <c r="E15" t="s">
        <v>19</v>
      </c>
    </row>
    <row r="16" spans="1:9" x14ac:dyDescent="0.3">
      <c r="A16" t="s">
        <v>23</v>
      </c>
      <c r="B16" t="s">
        <v>4</v>
      </c>
      <c r="C16">
        <v>250</v>
      </c>
      <c r="D16">
        <v>2</v>
      </c>
      <c r="E16" t="s">
        <v>19</v>
      </c>
    </row>
    <row r="17" spans="1:5" x14ac:dyDescent="0.3">
      <c r="A17" t="s">
        <v>24</v>
      </c>
      <c r="B17" t="s">
        <v>11</v>
      </c>
      <c r="C17">
        <v>750</v>
      </c>
      <c r="D17">
        <v>2</v>
      </c>
      <c r="E17" t="s">
        <v>19</v>
      </c>
    </row>
    <row r="18" spans="1:5" x14ac:dyDescent="0.3">
      <c r="A18" t="s">
        <v>25</v>
      </c>
      <c r="B18" t="s">
        <v>13</v>
      </c>
      <c r="C18">
        <v>1200</v>
      </c>
      <c r="D18">
        <v>2</v>
      </c>
      <c r="E18" t="s">
        <v>19</v>
      </c>
    </row>
    <row r="19" spans="1:5" x14ac:dyDescent="0.3">
      <c r="A19" t="s">
        <v>26</v>
      </c>
      <c r="B19" t="s">
        <v>15</v>
      </c>
      <c r="C19">
        <v>580</v>
      </c>
      <c r="D19">
        <v>2</v>
      </c>
      <c r="E19" t="s">
        <v>19</v>
      </c>
    </row>
    <row r="20" spans="1:5" x14ac:dyDescent="0.3">
      <c r="A20" t="s">
        <v>27</v>
      </c>
      <c r="B20" t="s">
        <v>4</v>
      </c>
      <c r="C20">
        <v>220</v>
      </c>
      <c r="D20">
        <v>2</v>
      </c>
      <c r="E20" t="s">
        <v>19</v>
      </c>
    </row>
    <row r="21" spans="1:5" x14ac:dyDescent="0.3">
      <c r="A21" t="s">
        <v>28</v>
      </c>
      <c r="B21" t="s">
        <v>8</v>
      </c>
      <c r="C21">
        <v>450</v>
      </c>
      <c r="D21">
        <v>2</v>
      </c>
      <c r="E21" t="s">
        <v>19</v>
      </c>
    </row>
    <row r="22" spans="1:5" x14ac:dyDescent="0.3">
      <c r="A22" t="s">
        <v>29</v>
      </c>
      <c r="B22" t="s">
        <v>1</v>
      </c>
      <c r="C22">
        <v>5000</v>
      </c>
      <c r="D22">
        <v>3</v>
      </c>
      <c r="E22" t="s">
        <v>30</v>
      </c>
    </row>
    <row r="23" spans="1:5" x14ac:dyDescent="0.3">
      <c r="A23" t="s">
        <v>31</v>
      </c>
      <c r="B23" t="s">
        <v>4</v>
      </c>
      <c r="C23">
        <v>370</v>
      </c>
      <c r="D23">
        <v>3</v>
      </c>
      <c r="E23" t="s">
        <v>30</v>
      </c>
    </row>
    <row r="24" spans="1:5" x14ac:dyDescent="0.3">
      <c r="A24" t="s">
        <v>32</v>
      </c>
      <c r="B24" t="s">
        <v>6</v>
      </c>
      <c r="C24">
        <v>140</v>
      </c>
      <c r="D24">
        <v>3</v>
      </c>
      <c r="E24" t="s">
        <v>30</v>
      </c>
    </row>
    <row r="25" spans="1:5" x14ac:dyDescent="0.3">
      <c r="A25" t="s">
        <v>33</v>
      </c>
      <c r="B25" t="s">
        <v>13</v>
      </c>
      <c r="C25">
        <v>850</v>
      </c>
      <c r="D25">
        <v>3</v>
      </c>
      <c r="E25" t="s">
        <v>30</v>
      </c>
    </row>
    <row r="26" spans="1:5" x14ac:dyDescent="0.3">
      <c r="A26" t="s">
        <v>34</v>
      </c>
      <c r="B26" t="s">
        <v>4</v>
      </c>
      <c r="C26">
        <v>230</v>
      </c>
      <c r="D26">
        <v>3</v>
      </c>
      <c r="E26" t="s">
        <v>30</v>
      </c>
    </row>
    <row r="27" spans="1:5" x14ac:dyDescent="0.3">
      <c r="A27" t="s">
        <v>35</v>
      </c>
      <c r="B27" t="s">
        <v>11</v>
      </c>
      <c r="C27">
        <v>900</v>
      </c>
      <c r="D27">
        <v>3</v>
      </c>
      <c r="E27" t="s">
        <v>30</v>
      </c>
    </row>
    <row r="28" spans="1:5" x14ac:dyDescent="0.3">
      <c r="A28" t="s">
        <v>36</v>
      </c>
      <c r="B28" t="s">
        <v>8</v>
      </c>
      <c r="C28">
        <v>1100</v>
      </c>
      <c r="D28">
        <v>3</v>
      </c>
      <c r="E28" t="s">
        <v>30</v>
      </c>
    </row>
    <row r="29" spans="1:5" x14ac:dyDescent="0.3">
      <c r="A29" t="s">
        <v>37</v>
      </c>
      <c r="B29" t="s">
        <v>15</v>
      </c>
      <c r="C29">
        <v>620</v>
      </c>
      <c r="D29">
        <v>3</v>
      </c>
      <c r="E29" t="s">
        <v>30</v>
      </c>
    </row>
    <row r="30" spans="1:5" x14ac:dyDescent="0.3">
      <c r="A30" t="s">
        <v>38</v>
      </c>
      <c r="B30" t="s">
        <v>4</v>
      </c>
      <c r="C30">
        <v>190</v>
      </c>
      <c r="D30">
        <v>3</v>
      </c>
      <c r="E30" t="s">
        <v>30</v>
      </c>
    </row>
    <row r="31" spans="1:5" x14ac:dyDescent="0.3">
      <c r="A31" t="s">
        <v>39</v>
      </c>
      <c r="B31" t="s">
        <v>6</v>
      </c>
      <c r="C31">
        <v>160</v>
      </c>
      <c r="D31">
        <v>3</v>
      </c>
      <c r="E31" t="s">
        <v>30</v>
      </c>
    </row>
    <row r="32" spans="1:5" x14ac:dyDescent="0.3">
      <c r="A32" t="s">
        <v>40</v>
      </c>
      <c r="B32" t="s">
        <v>1</v>
      </c>
      <c r="C32">
        <v>5000</v>
      </c>
      <c r="D32">
        <v>4</v>
      </c>
      <c r="E32" t="s">
        <v>41</v>
      </c>
    </row>
    <row r="33" spans="1:5" x14ac:dyDescent="0.3">
      <c r="A33" t="s">
        <v>42</v>
      </c>
      <c r="B33" t="s">
        <v>4</v>
      </c>
      <c r="C33">
        <v>420</v>
      </c>
      <c r="D33">
        <v>4</v>
      </c>
      <c r="E33" t="s">
        <v>41</v>
      </c>
    </row>
    <row r="34" spans="1:5" x14ac:dyDescent="0.3">
      <c r="A34" t="s">
        <v>43</v>
      </c>
      <c r="B34" t="s">
        <v>11</v>
      </c>
      <c r="C34">
        <v>110</v>
      </c>
      <c r="D34">
        <v>4</v>
      </c>
      <c r="E34" t="s">
        <v>41</v>
      </c>
    </row>
    <row r="35" spans="1:5" x14ac:dyDescent="0.3">
      <c r="A35" t="s">
        <v>44</v>
      </c>
      <c r="B35" t="s">
        <v>6</v>
      </c>
      <c r="C35">
        <v>200</v>
      </c>
      <c r="D35">
        <v>4</v>
      </c>
      <c r="E35" t="s">
        <v>41</v>
      </c>
    </row>
    <row r="36" spans="1:5" x14ac:dyDescent="0.3">
      <c r="A36" t="s">
        <v>45</v>
      </c>
      <c r="B36" t="s">
        <v>4</v>
      </c>
      <c r="C36">
        <v>280</v>
      </c>
      <c r="D36">
        <v>4</v>
      </c>
      <c r="E36" t="s">
        <v>41</v>
      </c>
    </row>
    <row r="37" spans="1:5" x14ac:dyDescent="0.3">
      <c r="A37" t="s">
        <v>46</v>
      </c>
      <c r="B37" t="s">
        <v>13</v>
      </c>
      <c r="C37">
        <v>820</v>
      </c>
      <c r="D37">
        <v>4</v>
      </c>
      <c r="E37" t="s">
        <v>41</v>
      </c>
    </row>
    <row r="38" spans="1:5" x14ac:dyDescent="0.3">
      <c r="A38" t="s">
        <v>47</v>
      </c>
      <c r="B38" t="s">
        <v>8</v>
      </c>
      <c r="C38">
        <v>950</v>
      </c>
      <c r="D38">
        <v>4</v>
      </c>
      <c r="E38" t="s">
        <v>41</v>
      </c>
    </row>
    <row r="39" spans="1:5" x14ac:dyDescent="0.3">
      <c r="A39" t="s">
        <v>48</v>
      </c>
      <c r="B39" t="s">
        <v>15</v>
      </c>
      <c r="C39">
        <v>590</v>
      </c>
      <c r="D39">
        <v>4</v>
      </c>
      <c r="E39" t="s">
        <v>41</v>
      </c>
    </row>
    <row r="40" spans="1:5" x14ac:dyDescent="0.3">
      <c r="A40" t="s">
        <v>49</v>
      </c>
      <c r="B40" t="s">
        <v>4</v>
      </c>
      <c r="C40">
        <v>210</v>
      </c>
      <c r="D40">
        <v>4</v>
      </c>
      <c r="E40" t="s">
        <v>41</v>
      </c>
    </row>
    <row r="41" spans="1:5" x14ac:dyDescent="0.3">
      <c r="A41" t="s">
        <v>50</v>
      </c>
      <c r="B41" t="s">
        <v>11</v>
      </c>
      <c r="C41">
        <v>780</v>
      </c>
      <c r="D41">
        <v>4</v>
      </c>
      <c r="E41" t="s">
        <v>41</v>
      </c>
    </row>
    <row r="42" spans="1:5" x14ac:dyDescent="0.3">
      <c r="A42" t="s">
        <v>51</v>
      </c>
      <c r="B42" t="s">
        <v>1</v>
      </c>
      <c r="C42">
        <v>5000</v>
      </c>
      <c r="D42">
        <v>5</v>
      </c>
      <c r="E42" t="s">
        <v>52</v>
      </c>
    </row>
    <row r="43" spans="1:5" x14ac:dyDescent="0.3">
      <c r="A43" t="s">
        <v>53</v>
      </c>
      <c r="B43" t="s">
        <v>4</v>
      </c>
      <c r="C43">
        <v>390</v>
      </c>
      <c r="D43">
        <v>5</v>
      </c>
      <c r="E43" t="s">
        <v>52</v>
      </c>
    </row>
    <row r="44" spans="1:5" x14ac:dyDescent="0.3">
      <c r="A44" t="s">
        <v>54</v>
      </c>
      <c r="B44" t="s">
        <v>6</v>
      </c>
      <c r="C44">
        <v>130</v>
      </c>
      <c r="D44">
        <v>5</v>
      </c>
      <c r="E44" t="s">
        <v>52</v>
      </c>
    </row>
    <row r="45" spans="1:5" x14ac:dyDescent="0.3">
      <c r="A45" t="s">
        <v>55</v>
      </c>
      <c r="B45" t="s">
        <v>8</v>
      </c>
      <c r="C45">
        <v>600</v>
      </c>
      <c r="D45">
        <v>5</v>
      </c>
      <c r="E45" t="s">
        <v>52</v>
      </c>
    </row>
    <row r="46" spans="1:5" x14ac:dyDescent="0.3">
      <c r="A46" t="s">
        <v>56</v>
      </c>
      <c r="B46" t="s">
        <v>4</v>
      </c>
      <c r="C46">
        <v>260</v>
      </c>
      <c r="D46">
        <v>5</v>
      </c>
      <c r="E46" t="s">
        <v>52</v>
      </c>
    </row>
    <row r="47" spans="1:5" x14ac:dyDescent="0.3">
      <c r="A47" t="s">
        <v>57</v>
      </c>
      <c r="B47" t="s">
        <v>11</v>
      </c>
      <c r="C47">
        <v>870</v>
      </c>
      <c r="D47">
        <v>5</v>
      </c>
      <c r="E47" t="s">
        <v>52</v>
      </c>
    </row>
    <row r="48" spans="1:5" x14ac:dyDescent="0.3">
      <c r="A48" t="s">
        <v>58</v>
      </c>
      <c r="B48" t="s">
        <v>13</v>
      </c>
      <c r="C48">
        <v>1050</v>
      </c>
      <c r="D48">
        <v>5</v>
      </c>
      <c r="E48" t="s">
        <v>52</v>
      </c>
    </row>
    <row r="49" spans="1:5" x14ac:dyDescent="0.3">
      <c r="A49" t="s">
        <v>59</v>
      </c>
      <c r="B49" t="s">
        <v>15</v>
      </c>
      <c r="C49">
        <v>610</v>
      </c>
      <c r="D49">
        <v>5</v>
      </c>
      <c r="E49" t="s">
        <v>52</v>
      </c>
    </row>
    <row r="50" spans="1:5" x14ac:dyDescent="0.3">
      <c r="A50" t="s">
        <v>60</v>
      </c>
      <c r="B50" t="s">
        <v>4</v>
      </c>
      <c r="C50">
        <v>200</v>
      </c>
      <c r="D50">
        <v>5</v>
      </c>
      <c r="E50" t="s">
        <v>52</v>
      </c>
    </row>
    <row r="51" spans="1:5" x14ac:dyDescent="0.3">
      <c r="A51" t="s">
        <v>61</v>
      </c>
      <c r="B51" t="s">
        <v>6</v>
      </c>
      <c r="C51">
        <v>170</v>
      </c>
      <c r="D51">
        <v>5</v>
      </c>
      <c r="E51" t="s">
        <v>52</v>
      </c>
    </row>
    <row r="52" spans="1:5" x14ac:dyDescent="0.3">
      <c r="A52" t="s">
        <v>62</v>
      </c>
      <c r="B52" t="s">
        <v>1</v>
      </c>
      <c r="C52">
        <v>5000</v>
      </c>
      <c r="D52">
        <v>6</v>
      </c>
      <c r="E52" t="s">
        <v>63</v>
      </c>
    </row>
    <row r="53" spans="1:5" x14ac:dyDescent="0.3">
      <c r="A53" t="s">
        <v>64</v>
      </c>
      <c r="B53" t="s">
        <v>4</v>
      </c>
      <c r="C53">
        <v>450</v>
      </c>
      <c r="D53">
        <v>6</v>
      </c>
      <c r="E53" t="s">
        <v>63</v>
      </c>
    </row>
    <row r="54" spans="1:5" x14ac:dyDescent="0.3">
      <c r="A54" t="s">
        <v>65</v>
      </c>
      <c r="B54" t="s">
        <v>13</v>
      </c>
      <c r="C54">
        <v>1300</v>
      </c>
      <c r="D54">
        <v>6</v>
      </c>
      <c r="E54" t="s">
        <v>63</v>
      </c>
    </row>
    <row r="55" spans="1:5" x14ac:dyDescent="0.3">
      <c r="A55" t="s">
        <v>66</v>
      </c>
      <c r="B55" t="s">
        <v>6</v>
      </c>
      <c r="C55">
        <v>180</v>
      </c>
      <c r="D55">
        <v>6</v>
      </c>
      <c r="E55" t="s">
        <v>63</v>
      </c>
    </row>
    <row r="56" spans="1:5" x14ac:dyDescent="0.3">
      <c r="A56" t="s">
        <v>67</v>
      </c>
      <c r="B56" t="s">
        <v>4</v>
      </c>
      <c r="C56">
        <v>300</v>
      </c>
      <c r="D56">
        <v>6</v>
      </c>
      <c r="E56" t="s">
        <v>63</v>
      </c>
    </row>
    <row r="57" spans="1:5" x14ac:dyDescent="0.3">
      <c r="A57" t="s">
        <v>68</v>
      </c>
      <c r="B57" t="s">
        <v>11</v>
      </c>
      <c r="C57">
        <v>910</v>
      </c>
      <c r="D57">
        <v>6</v>
      </c>
      <c r="E57" t="s">
        <v>63</v>
      </c>
    </row>
    <row r="58" spans="1:5" x14ac:dyDescent="0.3">
      <c r="A58" t="s">
        <v>69</v>
      </c>
      <c r="B58" t="s">
        <v>8</v>
      </c>
      <c r="C58">
        <v>700</v>
      </c>
      <c r="D58">
        <v>6</v>
      </c>
      <c r="E58" t="s">
        <v>63</v>
      </c>
    </row>
    <row r="59" spans="1:5" x14ac:dyDescent="0.3">
      <c r="A59" t="s">
        <v>70</v>
      </c>
      <c r="B59" t="s">
        <v>15</v>
      </c>
      <c r="C59">
        <v>630</v>
      </c>
      <c r="D59">
        <v>6</v>
      </c>
      <c r="E59" t="s">
        <v>63</v>
      </c>
    </row>
    <row r="60" spans="1:5" x14ac:dyDescent="0.3">
      <c r="A60" t="s">
        <v>71</v>
      </c>
      <c r="B60" t="s">
        <v>4</v>
      </c>
      <c r="C60">
        <v>240</v>
      </c>
      <c r="D60">
        <v>6</v>
      </c>
      <c r="E60" t="s">
        <v>63</v>
      </c>
    </row>
    <row r="61" spans="1:5" x14ac:dyDescent="0.3">
      <c r="A61" t="s">
        <v>72</v>
      </c>
      <c r="B61" t="s">
        <v>13</v>
      </c>
      <c r="C61">
        <v>1100</v>
      </c>
      <c r="D61">
        <v>6</v>
      </c>
      <c r="E61" t="s">
        <v>63</v>
      </c>
    </row>
    <row r="62" spans="1:5" x14ac:dyDescent="0.3">
      <c r="A62" t="s">
        <v>73</v>
      </c>
      <c r="B62" t="s">
        <v>1</v>
      </c>
      <c r="C62">
        <v>5000</v>
      </c>
      <c r="D62">
        <v>7</v>
      </c>
      <c r="E62" t="s">
        <v>74</v>
      </c>
    </row>
    <row r="63" spans="1:5" x14ac:dyDescent="0.3">
      <c r="A63" t="s">
        <v>75</v>
      </c>
      <c r="B63" t="s">
        <v>4</v>
      </c>
      <c r="C63">
        <v>410</v>
      </c>
      <c r="D63">
        <v>7</v>
      </c>
      <c r="E63" t="s">
        <v>74</v>
      </c>
    </row>
    <row r="64" spans="1:5" x14ac:dyDescent="0.3">
      <c r="A64" t="s">
        <v>76</v>
      </c>
      <c r="B64" t="s">
        <v>6</v>
      </c>
      <c r="C64">
        <v>150</v>
      </c>
      <c r="D64">
        <v>7</v>
      </c>
      <c r="E64" t="s">
        <v>74</v>
      </c>
    </row>
    <row r="65" spans="1:5" x14ac:dyDescent="0.3">
      <c r="A65" t="s">
        <v>77</v>
      </c>
      <c r="B65" t="s">
        <v>8</v>
      </c>
      <c r="C65">
        <v>550</v>
      </c>
      <c r="D65">
        <v>7</v>
      </c>
      <c r="E65" t="s">
        <v>74</v>
      </c>
    </row>
    <row r="66" spans="1:5" x14ac:dyDescent="0.3">
      <c r="A66" t="s">
        <v>78</v>
      </c>
      <c r="B66" t="s">
        <v>4</v>
      </c>
      <c r="C66">
        <v>270</v>
      </c>
      <c r="D66">
        <v>7</v>
      </c>
      <c r="E66" t="s">
        <v>74</v>
      </c>
    </row>
    <row r="67" spans="1:5" x14ac:dyDescent="0.3">
      <c r="A67" t="s">
        <v>79</v>
      </c>
      <c r="B67" t="s">
        <v>11</v>
      </c>
      <c r="C67">
        <v>840</v>
      </c>
      <c r="D67">
        <v>7</v>
      </c>
      <c r="E67" t="s">
        <v>74</v>
      </c>
    </row>
    <row r="68" spans="1:5" x14ac:dyDescent="0.3">
      <c r="A68" t="s">
        <v>80</v>
      </c>
      <c r="B68" t="s">
        <v>13</v>
      </c>
      <c r="C68">
        <v>1150</v>
      </c>
      <c r="D68">
        <v>7</v>
      </c>
      <c r="E68" t="s">
        <v>74</v>
      </c>
    </row>
    <row r="69" spans="1:5" x14ac:dyDescent="0.3">
      <c r="A69" t="s">
        <v>81</v>
      </c>
      <c r="B69" t="s">
        <v>15</v>
      </c>
      <c r="C69">
        <v>600</v>
      </c>
      <c r="D69">
        <v>7</v>
      </c>
      <c r="E69" t="s">
        <v>74</v>
      </c>
    </row>
    <row r="70" spans="1:5" x14ac:dyDescent="0.3">
      <c r="A70" t="s">
        <v>82</v>
      </c>
      <c r="B70" t="s">
        <v>4</v>
      </c>
      <c r="C70">
        <v>220</v>
      </c>
      <c r="D70">
        <v>7</v>
      </c>
      <c r="E70" t="s">
        <v>74</v>
      </c>
    </row>
    <row r="71" spans="1:5" x14ac:dyDescent="0.3">
      <c r="A71" t="s">
        <v>83</v>
      </c>
      <c r="B71" t="s">
        <v>6</v>
      </c>
      <c r="C71">
        <v>140</v>
      </c>
      <c r="D71">
        <v>7</v>
      </c>
      <c r="E71" t="s">
        <v>74</v>
      </c>
    </row>
    <row r="72" spans="1:5" x14ac:dyDescent="0.3">
      <c r="A72" t="s">
        <v>84</v>
      </c>
      <c r="B72" t="s">
        <v>1</v>
      </c>
      <c r="C72">
        <v>5000</v>
      </c>
      <c r="D72">
        <v>8</v>
      </c>
      <c r="E72" t="s">
        <v>85</v>
      </c>
    </row>
    <row r="73" spans="1:5" x14ac:dyDescent="0.3">
      <c r="A73" t="s">
        <v>86</v>
      </c>
      <c r="B73" t="s">
        <v>4</v>
      </c>
      <c r="C73">
        <v>380</v>
      </c>
      <c r="D73">
        <v>8</v>
      </c>
      <c r="E73" t="s">
        <v>85</v>
      </c>
    </row>
    <row r="74" spans="1:5" x14ac:dyDescent="0.3">
      <c r="A74" t="s">
        <v>87</v>
      </c>
      <c r="B74" t="s">
        <v>11</v>
      </c>
      <c r="C74">
        <v>860</v>
      </c>
      <c r="D74">
        <v>8</v>
      </c>
      <c r="E74" t="s">
        <v>85</v>
      </c>
    </row>
    <row r="75" spans="1:5" x14ac:dyDescent="0.3">
      <c r="A75" t="s">
        <v>88</v>
      </c>
      <c r="B75" t="s">
        <v>13</v>
      </c>
      <c r="C75">
        <v>1250</v>
      </c>
      <c r="D75">
        <v>8</v>
      </c>
      <c r="E75" t="s">
        <v>85</v>
      </c>
    </row>
    <row r="76" spans="1:5" x14ac:dyDescent="0.3">
      <c r="A76" t="s">
        <v>89</v>
      </c>
      <c r="B76" t="s">
        <v>4</v>
      </c>
      <c r="C76">
        <v>290</v>
      </c>
      <c r="D76">
        <v>8</v>
      </c>
      <c r="E76" t="s">
        <v>85</v>
      </c>
    </row>
    <row r="77" spans="1:5" x14ac:dyDescent="0.3">
      <c r="A77" t="s">
        <v>90</v>
      </c>
      <c r="B77" t="s">
        <v>6</v>
      </c>
      <c r="C77">
        <v>160</v>
      </c>
      <c r="D77">
        <v>8</v>
      </c>
      <c r="E77" t="s">
        <v>85</v>
      </c>
    </row>
    <row r="78" spans="1:5" x14ac:dyDescent="0.3">
      <c r="A78" t="s">
        <v>91</v>
      </c>
      <c r="B78" t="s">
        <v>8</v>
      </c>
      <c r="C78">
        <v>650</v>
      </c>
      <c r="D78">
        <v>8</v>
      </c>
      <c r="E78" t="s">
        <v>85</v>
      </c>
    </row>
    <row r="79" spans="1:5" x14ac:dyDescent="0.3">
      <c r="A79" t="s">
        <v>92</v>
      </c>
      <c r="B79" t="s">
        <v>15</v>
      </c>
      <c r="C79">
        <v>615</v>
      </c>
      <c r="D79">
        <v>8</v>
      </c>
      <c r="E79" t="s">
        <v>85</v>
      </c>
    </row>
    <row r="80" spans="1:5" x14ac:dyDescent="0.3">
      <c r="A80" t="s">
        <v>93</v>
      </c>
      <c r="B80" t="s">
        <v>4</v>
      </c>
      <c r="C80">
        <v>235</v>
      </c>
      <c r="D80">
        <v>8</v>
      </c>
      <c r="E80" t="s">
        <v>85</v>
      </c>
    </row>
    <row r="81" spans="1:5" x14ac:dyDescent="0.3">
      <c r="A81" t="s">
        <v>94</v>
      </c>
      <c r="B81" t="s">
        <v>11</v>
      </c>
      <c r="C81">
        <v>790</v>
      </c>
      <c r="D81">
        <v>8</v>
      </c>
      <c r="E81" t="s">
        <v>85</v>
      </c>
    </row>
    <row r="82" spans="1:5" x14ac:dyDescent="0.3">
      <c r="A82" t="s">
        <v>95</v>
      </c>
      <c r="B82" t="s">
        <v>1</v>
      </c>
      <c r="C82">
        <v>5000</v>
      </c>
      <c r="D82">
        <v>9</v>
      </c>
      <c r="E82" t="s">
        <v>96</v>
      </c>
    </row>
    <row r="83" spans="1:5" x14ac:dyDescent="0.3">
      <c r="A83" t="s">
        <v>97</v>
      </c>
      <c r="B83" t="s">
        <v>4</v>
      </c>
      <c r="C83">
        <v>430</v>
      </c>
      <c r="D83">
        <v>9</v>
      </c>
      <c r="E83" t="s">
        <v>96</v>
      </c>
    </row>
    <row r="84" spans="1:5" x14ac:dyDescent="0.3">
      <c r="A84" t="s">
        <v>98</v>
      </c>
      <c r="B84" t="s">
        <v>6</v>
      </c>
      <c r="C84">
        <v>125</v>
      </c>
      <c r="D84">
        <v>9</v>
      </c>
      <c r="E84" t="s">
        <v>96</v>
      </c>
    </row>
    <row r="85" spans="1:5" x14ac:dyDescent="0.3">
      <c r="A85" t="s">
        <v>99</v>
      </c>
      <c r="B85" t="s">
        <v>8</v>
      </c>
      <c r="C85">
        <v>480</v>
      </c>
      <c r="D85">
        <v>9</v>
      </c>
      <c r="E85" t="s">
        <v>96</v>
      </c>
    </row>
    <row r="86" spans="1:5" x14ac:dyDescent="0.3">
      <c r="A86" t="s">
        <v>100</v>
      </c>
      <c r="B86" t="s">
        <v>4</v>
      </c>
      <c r="C86">
        <v>310</v>
      </c>
      <c r="D86">
        <v>9</v>
      </c>
      <c r="E86" t="s">
        <v>96</v>
      </c>
    </row>
    <row r="87" spans="1:5" x14ac:dyDescent="0.3">
      <c r="A87" t="s">
        <v>101</v>
      </c>
      <c r="B87" t="s">
        <v>11</v>
      </c>
      <c r="C87">
        <v>880</v>
      </c>
      <c r="D87">
        <v>9</v>
      </c>
      <c r="E87" t="s">
        <v>96</v>
      </c>
    </row>
    <row r="88" spans="1:5" x14ac:dyDescent="0.3">
      <c r="A88" t="s">
        <v>102</v>
      </c>
      <c r="B88" t="s">
        <v>13</v>
      </c>
      <c r="C88">
        <v>1080</v>
      </c>
      <c r="D88">
        <v>9</v>
      </c>
      <c r="E88" t="s">
        <v>96</v>
      </c>
    </row>
    <row r="89" spans="1:5" x14ac:dyDescent="0.3">
      <c r="A89" t="s">
        <v>103</v>
      </c>
      <c r="B89" t="s">
        <v>15</v>
      </c>
      <c r="C89">
        <v>625</v>
      </c>
      <c r="D89">
        <v>9</v>
      </c>
      <c r="E89" t="s">
        <v>96</v>
      </c>
    </row>
    <row r="90" spans="1:5" x14ac:dyDescent="0.3">
      <c r="A90" t="s">
        <v>104</v>
      </c>
      <c r="B90" t="s">
        <v>4</v>
      </c>
      <c r="C90">
        <v>215</v>
      </c>
      <c r="D90">
        <v>9</v>
      </c>
      <c r="E90" t="s">
        <v>96</v>
      </c>
    </row>
    <row r="91" spans="1:5" x14ac:dyDescent="0.3">
      <c r="A91" t="s">
        <v>105</v>
      </c>
      <c r="B91" t="s">
        <v>6</v>
      </c>
      <c r="C91">
        <v>155</v>
      </c>
      <c r="D91">
        <v>9</v>
      </c>
      <c r="E91" t="s">
        <v>96</v>
      </c>
    </row>
    <row r="92" spans="1:5" x14ac:dyDescent="0.3">
      <c r="A92" t="s">
        <v>106</v>
      </c>
      <c r="B92" t="s">
        <v>1</v>
      </c>
      <c r="C92">
        <v>5000</v>
      </c>
      <c r="D92">
        <v>10</v>
      </c>
      <c r="E92" t="s">
        <v>107</v>
      </c>
    </row>
    <row r="93" spans="1:5" x14ac:dyDescent="0.3">
      <c r="A93" t="s">
        <v>108</v>
      </c>
      <c r="B93" t="s">
        <v>4</v>
      </c>
      <c r="C93">
        <v>460</v>
      </c>
      <c r="D93">
        <v>10</v>
      </c>
      <c r="E93" t="s">
        <v>107</v>
      </c>
    </row>
    <row r="94" spans="1:5" x14ac:dyDescent="0.3">
      <c r="A94" t="s">
        <v>109</v>
      </c>
      <c r="B94" t="s">
        <v>13</v>
      </c>
      <c r="C94">
        <v>1400</v>
      </c>
      <c r="D94">
        <v>10</v>
      </c>
      <c r="E94" t="s">
        <v>107</v>
      </c>
    </row>
    <row r="95" spans="1:5" x14ac:dyDescent="0.3">
      <c r="A95" t="s">
        <v>110</v>
      </c>
      <c r="B95" t="s">
        <v>6</v>
      </c>
      <c r="C95">
        <v>165</v>
      </c>
      <c r="D95">
        <v>10</v>
      </c>
      <c r="E95" t="s">
        <v>107</v>
      </c>
    </row>
    <row r="96" spans="1:5" x14ac:dyDescent="0.3">
      <c r="A96" t="s">
        <v>111</v>
      </c>
      <c r="B96" t="s">
        <v>4</v>
      </c>
      <c r="C96">
        <v>320</v>
      </c>
      <c r="D96">
        <v>10</v>
      </c>
      <c r="E96" t="s">
        <v>107</v>
      </c>
    </row>
    <row r="97" spans="1:5" x14ac:dyDescent="0.3">
      <c r="A97" t="s">
        <v>112</v>
      </c>
      <c r="B97" t="s">
        <v>11</v>
      </c>
      <c r="C97">
        <v>920</v>
      </c>
      <c r="D97">
        <v>10</v>
      </c>
      <c r="E97" t="s">
        <v>107</v>
      </c>
    </row>
    <row r="98" spans="1:5" x14ac:dyDescent="0.3">
      <c r="A98" t="s">
        <v>113</v>
      </c>
      <c r="B98" t="s">
        <v>8</v>
      </c>
      <c r="C98">
        <v>720</v>
      </c>
      <c r="D98">
        <v>10</v>
      </c>
      <c r="E98" t="s">
        <v>107</v>
      </c>
    </row>
    <row r="99" spans="1:5" x14ac:dyDescent="0.3">
      <c r="A99" t="s">
        <v>114</v>
      </c>
      <c r="B99" t="s">
        <v>15</v>
      </c>
      <c r="C99">
        <v>640</v>
      </c>
      <c r="D99">
        <v>10</v>
      </c>
      <c r="E99" t="s">
        <v>107</v>
      </c>
    </row>
    <row r="100" spans="1:5" x14ac:dyDescent="0.3">
      <c r="A100" t="s">
        <v>115</v>
      </c>
      <c r="B100" t="s">
        <v>4</v>
      </c>
      <c r="C100">
        <v>250</v>
      </c>
      <c r="D100">
        <v>10</v>
      </c>
      <c r="E100" t="s">
        <v>107</v>
      </c>
    </row>
    <row r="101" spans="1:5" x14ac:dyDescent="0.3">
      <c r="A101" t="s">
        <v>116</v>
      </c>
      <c r="B101" t="s">
        <v>13</v>
      </c>
      <c r="C101">
        <v>1050</v>
      </c>
      <c r="D101">
        <v>10</v>
      </c>
      <c r="E101" t="s">
        <v>107</v>
      </c>
    </row>
    <row r="102" spans="1:5" x14ac:dyDescent="0.3">
      <c r="A102" t="s">
        <v>117</v>
      </c>
      <c r="B102" t="s">
        <v>1</v>
      </c>
      <c r="C102">
        <v>5000</v>
      </c>
      <c r="D102">
        <v>11</v>
      </c>
      <c r="E102" t="s">
        <v>118</v>
      </c>
    </row>
    <row r="103" spans="1:5" x14ac:dyDescent="0.3">
      <c r="A103" t="s">
        <v>119</v>
      </c>
      <c r="B103" t="s">
        <v>4</v>
      </c>
      <c r="C103">
        <v>400</v>
      </c>
      <c r="D103">
        <v>11</v>
      </c>
      <c r="E103" t="s">
        <v>118</v>
      </c>
    </row>
    <row r="104" spans="1:5" x14ac:dyDescent="0.3">
      <c r="A104" t="s">
        <v>120</v>
      </c>
      <c r="B104" t="s">
        <v>6</v>
      </c>
      <c r="C104">
        <v>135</v>
      </c>
      <c r="D104">
        <v>11</v>
      </c>
      <c r="E104" t="s">
        <v>118</v>
      </c>
    </row>
    <row r="105" spans="1:5" x14ac:dyDescent="0.3">
      <c r="A105" t="s">
        <v>121</v>
      </c>
      <c r="B105" t="s">
        <v>8</v>
      </c>
      <c r="C105">
        <v>520</v>
      </c>
      <c r="D105">
        <v>11</v>
      </c>
      <c r="E105" t="s">
        <v>118</v>
      </c>
    </row>
    <row r="106" spans="1:5" x14ac:dyDescent="0.3">
      <c r="A106" t="s">
        <v>122</v>
      </c>
      <c r="B106" t="s">
        <v>4</v>
      </c>
      <c r="C106">
        <v>280</v>
      </c>
      <c r="D106">
        <v>11</v>
      </c>
      <c r="E106" t="s">
        <v>118</v>
      </c>
    </row>
    <row r="107" spans="1:5" x14ac:dyDescent="0.3">
      <c r="A107" t="s">
        <v>123</v>
      </c>
      <c r="B107" t="s">
        <v>11</v>
      </c>
      <c r="C107">
        <v>850</v>
      </c>
      <c r="D107">
        <v>11</v>
      </c>
      <c r="E107" t="s">
        <v>118</v>
      </c>
    </row>
    <row r="108" spans="1:5" x14ac:dyDescent="0.3">
      <c r="A108" t="s">
        <v>124</v>
      </c>
      <c r="B108" t="s">
        <v>13</v>
      </c>
      <c r="C108">
        <v>1000</v>
      </c>
      <c r="D108">
        <v>11</v>
      </c>
      <c r="E108" t="s">
        <v>118</v>
      </c>
    </row>
    <row r="109" spans="1:5" x14ac:dyDescent="0.3">
      <c r="A109" t="s">
        <v>125</v>
      </c>
      <c r="B109" t="s">
        <v>15</v>
      </c>
      <c r="C109">
        <v>610</v>
      </c>
      <c r="D109">
        <v>11</v>
      </c>
      <c r="E109" t="s">
        <v>118</v>
      </c>
    </row>
    <row r="110" spans="1:5" x14ac:dyDescent="0.3">
      <c r="A110" t="s">
        <v>126</v>
      </c>
      <c r="B110" t="s">
        <v>4</v>
      </c>
      <c r="C110">
        <v>225</v>
      </c>
      <c r="D110">
        <v>11</v>
      </c>
      <c r="E110" t="s">
        <v>118</v>
      </c>
    </row>
    <row r="111" spans="1:5" x14ac:dyDescent="0.3">
      <c r="A111" t="s">
        <v>127</v>
      </c>
      <c r="B111" t="s">
        <v>6</v>
      </c>
      <c r="C111">
        <v>145</v>
      </c>
      <c r="D111">
        <v>11</v>
      </c>
      <c r="E111" t="s">
        <v>118</v>
      </c>
    </row>
    <row r="112" spans="1:5" x14ac:dyDescent="0.3">
      <c r="A112" t="s">
        <v>128</v>
      </c>
      <c r="B112" t="s">
        <v>1</v>
      </c>
      <c r="C112">
        <v>5000</v>
      </c>
      <c r="D112">
        <v>12</v>
      </c>
      <c r="E112" t="s">
        <v>129</v>
      </c>
    </row>
    <row r="113" spans="1:5" x14ac:dyDescent="0.3">
      <c r="A113" t="s">
        <v>130</v>
      </c>
      <c r="B113" t="s">
        <v>4</v>
      </c>
      <c r="C113">
        <v>500</v>
      </c>
      <c r="D113">
        <v>12</v>
      </c>
      <c r="E113" t="s">
        <v>129</v>
      </c>
    </row>
    <row r="114" spans="1:5" x14ac:dyDescent="0.3">
      <c r="A114" t="s">
        <v>131</v>
      </c>
      <c r="B114" t="s">
        <v>13</v>
      </c>
      <c r="C114">
        <v>1500</v>
      </c>
      <c r="D114">
        <v>12</v>
      </c>
      <c r="E114" t="s">
        <v>129</v>
      </c>
    </row>
    <row r="115" spans="1:5" x14ac:dyDescent="0.3">
      <c r="A115" t="s">
        <v>132</v>
      </c>
      <c r="B115" t="s">
        <v>8</v>
      </c>
      <c r="C115">
        <v>800</v>
      </c>
      <c r="D115">
        <v>12</v>
      </c>
      <c r="E115" t="s">
        <v>129</v>
      </c>
    </row>
    <row r="116" spans="1:5" x14ac:dyDescent="0.3">
      <c r="A116" t="s">
        <v>133</v>
      </c>
      <c r="B116" t="s">
        <v>4</v>
      </c>
      <c r="C116">
        <v>350</v>
      </c>
      <c r="D116">
        <v>12</v>
      </c>
      <c r="E116" t="s">
        <v>129</v>
      </c>
    </row>
    <row r="117" spans="1:5" x14ac:dyDescent="0.3">
      <c r="A117" t="s">
        <v>134</v>
      </c>
      <c r="B117" t="s">
        <v>11</v>
      </c>
      <c r="C117">
        <v>950</v>
      </c>
      <c r="D117">
        <v>12</v>
      </c>
      <c r="E117" t="s">
        <v>129</v>
      </c>
    </row>
    <row r="118" spans="1:5" x14ac:dyDescent="0.3">
      <c r="A118" t="s">
        <v>135</v>
      </c>
      <c r="B118" t="s">
        <v>6</v>
      </c>
      <c r="C118">
        <v>200</v>
      </c>
      <c r="D118">
        <v>12</v>
      </c>
      <c r="E118" t="s">
        <v>129</v>
      </c>
    </row>
    <row r="119" spans="1:5" x14ac:dyDescent="0.3">
      <c r="A119" t="s">
        <v>136</v>
      </c>
      <c r="B119" t="s">
        <v>15</v>
      </c>
      <c r="C119">
        <v>700</v>
      </c>
      <c r="D119">
        <v>12</v>
      </c>
      <c r="E119" t="s">
        <v>129</v>
      </c>
    </row>
    <row r="120" spans="1:5" x14ac:dyDescent="0.3">
      <c r="A120" t="s">
        <v>137</v>
      </c>
      <c r="B120" t="s">
        <v>4</v>
      </c>
      <c r="C120">
        <v>300</v>
      </c>
      <c r="D120">
        <v>12</v>
      </c>
      <c r="E120" t="s">
        <v>129</v>
      </c>
    </row>
    <row r="121" spans="1:5" x14ac:dyDescent="0.3">
      <c r="A121" t="s">
        <v>138</v>
      </c>
      <c r="B121" t="s">
        <v>13</v>
      </c>
      <c r="C121">
        <v>1300</v>
      </c>
      <c r="D121">
        <v>12</v>
      </c>
      <c r="E121" t="s">
        <v>129</v>
      </c>
    </row>
  </sheetData>
  <mergeCells count="1">
    <mergeCell ref="H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K4" sqref="K4"/>
    </sheetView>
  </sheetViews>
  <sheetFormatPr defaultRowHeight="14.4" x14ac:dyDescent="0.3"/>
  <cols>
    <col min="1" max="1" width="12.6640625" bestFit="1" customWidth="1"/>
  </cols>
  <sheetData>
    <row r="1" spans="1:2" x14ac:dyDescent="0.3">
      <c r="A1" s="1" t="s">
        <v>140</v>
      </c>
      <c r="B1" s="1" t="s">
        <v>141</v>
      </c>
    </row>
    <row r="2" spans="1:2" x14ac:dyDescent="0.3">
      <c r="A2" t="s">
        <v>8</v>
      </c>
      <c r="B2">
        <v>8320</v>
      </c>
    </row>
    <row r="3" spans="1:2" x14ac:dyDescent="0.3">
      <c r="A3" t="s">
        <v>4</v>
      </c>
      <c r="B3">
        <v>10985</v>
      </c>
    </row>
    <row r="4" spans="1:2" x14ac:dyDescent="0.3">
      <c r="A4" t="s">
        <v>11</v>
      </c>
      <c r="B4">
        <v>11210</v>
      </c>
    </row>
    <row r="5" spans="1:2" x14ac:dyDescent="0.3">
      <c r="A5" t="s">
        <v>1</v>
      </c>
      <c r="B5">
        <v>60000</v>
      </c>
    </row>
    <row r="6" spans="1:2" x14ac:dyDescent="0.3">
      <c r="A6" t="s">
        <v>13</v>
      </c>
      <c r="B6">
        <v>17049</v>
      </c>
    </row>
    <row r="7" spans="1:2" x14ac:dyDescent="0.3">
      <c r="A7" t="s">
        <v>6</v>
      </c>
      <c r="B7">
        <v>2755</v>
      </c>
    </row>
    <row r="8" spans="1:2" x14ac:dyDescent="0.3">
      <c r="A8" t="s">
        <v>15</v>
      </c>
      <c r="B8">
        <v>7420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s="1" t="s">
        <v>143</v>
      </c>
      <c r="B1" s="1" t="s">
        <v>141</v>
      </c>
    </row>
    <row r="2" spans="1:2" x14ac:dyDescent="0.3">
      <c r="A2" t="s">
        <v>2</v>
      </c>
      <c r="B2">
        <v>8899</v>
      </c>
    </row>
    <row r="3" spans="1:2" x14ac:dyDescent="0.3">
      <c r="A3" t="s">
        <v>19</v>
      </c>
      <c r="B3">
        <v>9280</v>
      </c>
    </row>
    <row r="4" spans="1:2" x14ac:dyDescent="0.3">
      <c r="A4" t="s">
        <v>30</v>
      </c>
      <c r="B4">
        <v>9560</v>
      </c>
    </row>
    <row r="5" spans="1:2" x14ac:dyDescent="0.3">
      <c r="A5" t="s">
        <v>41</v>
      </c>
      <c r="B5">
        <v>9360</v>
      </c>
    </row>
    <row r="6" spans="1:2" x14ac:dyDescent="0.3">
      <c r="A6" t="s">
        <v>52</v>
      </c>
      <c r="B6">
        <v>9280</v>
      </c>
    </row>
    <row r="7" spans="1:2" x14ac:dyDescent="0.3">
      <c r="A7" t="s">
        <v>63</v>
      </c>
      <c r="B7">
        <v>10810</v>
      </c>
    </row>
    <row r="8" spans="1:2" x14ac:dyDescent="0.3">
      <c r="A8" t="s">
        <v>74</v>
      </c>
      <c r="B8">
        <v>9330</v>
      </c>
    </row>
    <row r="9" spans="1:2" x14ac:dyDescent="0.3">
      <c r="A9" t="s">
        <v>85</v>
      </c>
      <c r="B9">
        <v>10230</v>
      </c>
    </row>
    <row r="10" spans="1:2" x14ac:dyDescent="0.3">
      <c r="A10" t="s">
        <v>96</v>
      </c>
      <c r="B10">
        <v>9300</v>
      </c>
    </row>
    <row r="11" spans="1:2" x14ac:dyDescent="0.3">
      <c r="A11" t="s">
        <v>107</v>
      </c>
      <c r="B11">
        <v>10925</v>
      </c>
    </row>
    <row r="12" spans="1:2" x14ac:dyDescent="0.3">
      <c r="A12" t="s">
        <v>118</v>
      </c>
      <c r="B12">
        <v>9165</v>
      </c>
    </row>
    <row r="13" spans="1:2" x14ac:dyDescent="0.3">
      <c r="A13" t="s">
        <v>129</v>
      </c>
      <c r="B13">
        <v>11600</v>
      </c>
    </row>
  </sheetData>
  <sortState xmlns:xlrd2="http://schemas.microsoft.com/office/spreadsheetml/2017/richdata2" ref="A2:B13">
    <sortCondition ref="A2:A13" customList="January,February,March,April,May,June,July,August,September,October,November,December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By Category</vt:lpstr>
      <vt:lpstr>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srivastava</cp:lastModifiedBy>
  <dcterms:created xsi:type="dcterms:W3CDTF">2026-03-27T12:25:48Z</dcterms:created>
  <dcterms:modified xsi:type="dcterms:W3CDTF">2026-03-29T09:29:08Z</dcterms:modified>
</cp:coreProperties>
</file>